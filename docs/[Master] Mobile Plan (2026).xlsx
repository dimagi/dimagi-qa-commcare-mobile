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3.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xml" ContentType="application/vnd.openxmlformats-officedocument.drawing+xml"/>
  <Override PartName="/xl/worksheets/sheet26.xml" ContentType="application/vnd.openxmlformats-officedocument.spreadsheetml.worksheet+xml"/>
  <Override PartName="/xl/comments/comment4.xml" ContentType="application/vnd.openxmlformats-officedocument.spreadsheetml.comments+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Tracker" sheetId="1" state="visible" r:id="rId1"/>
    <sheet xmlns:r="http://schemas.openxmlformats.org/officeDocument/2006/relationships" name="Notes" sheetId="2" state="visible" r:id="rId2"/>
    <sheet xmlns:r="http://schemas.openxmlformats.org/officeDocument/2006/relationships" name="Browserstack" sheetId="3" state="visible" r:id="rId3"/>
    <sheet xmlns:r="http://schemas.openxmlformats.org/officeDocument/2006/relationships" name="Android Virtual Devices" sheetId="4" state="visible" r:id="rId4"/>
    <sheet xmlns:r="http://schemas.openxmlformats.org/officeDocument/2006/relationships" name="Install" sheetId="5" state="visible" r:id="rId5"/>
    <sheet xmlns:r="http://schemas.openxmlformats.org/officeDocument/2006/relationships" name="Login" sheetId="6" state="visible" r:id="rId6"/>
    <sheet xmlns:r="http://schemas.openxmlformats.org/officeDocument/2006/relationships" name="Update" sheetId="7" state="visible" r:id="rId7"/>
    <sheet xmlns:r="http://schemas.openxmlformats.org/officeDocument/2006/relationships" name="Database Change" sheetId="8" state="visible" r:id="rId8"/>
    <sheet xmlns:r="http://schemas.openxmlformats.org/officeDocument/2006/relationships" name="SD Card Dump" sheetId="9" state="visible" r:id="rId9"/>
    <sheet xmlns:r="http://schemas.openxmlformats.org/officeDocument/2006/relationships" name="Wi-Fi Direct" sheetId="10" state="visible" r:id="rId10"/>
    <sheet xmlns:r="http://schemas.openxmlformats.org/officeDocument/2006/relationships" name="Mobile Pins" sheetId="11" state="visible" r:id="rId11"/>
    <sheet xmlns:r="http://schemas.openxmlformats.org/officeDocument/2006/relationships" name="Multimedia" sheetId="12" state="visible" r:id="rId12"/>
    <sheet xmlns:r="http://schemas.openxmlformats.org/officeDocument/2006/relationships" name="Developer Options" sheetId="13" state="visible" r:id="rId13"/>
    <sheet xmlns:r="http://schemas.openxmlformats.org/officeDocument/2006/relationships" name="Printing" sheetId="14" state="visible" r:id="rId14"/>
    <sheet xmlns:r="http://schemas.openxmlformats.org/officeDocument/2006/relationships" name="Graphing" sheetId="15" state="visible" r:id="rId15"/>
    <sheet xmlns:r="http://schemas.openxmlformats.org/officeDocument/2006/relationships" name="Support Menus" sheetId="16" state="visible" r:id="rId16"/>
    <sheet xmlns:r="http://schemas.openxmlformats.org/officeDocument/2006/relationships" name="Case Filters" sheetId="17" state="visible" r:id="rId17"/>
    <sheet xmlns:r="http://schemas.openxmlformats.org/officeDocument/2006/relationships" name="Session Expiration" sheetId="18" state="visible" r:id="rId18"/>
    <sheet xmlns:r="http://schemas.openxmlformats.org/officeDocument/2006/relationships" name="Conditional Enum in Case List" sheetId="19" state="visible" r:id="rId19"/>
    <sheet xmlns:r="http://schemas.openxmlformats.org/officeDocument/2006/relationships" name="Prompted Updates" sheetId="20" state="visible" r:id="rId20"/>
    <sheet xmlns:r="http://schemas.openxmlformats.org/officeDocument/2006/relationships" name="Menu Badges" sheetId="21" state="visible" r:id="rId21"/>
    <sheet xmlns:r="http://schemas.openxmlformats.org/officeDocument/2006/relationships" name="Date Widgets" sheetId="22" state="visible" r:id="rId22"/>
    <sheet xmlns:r="http://schemas.openxmlformats.org/officeDocument/2006/relationships" name="Other - Error Tests" sheetId="23" state="visible" r:id="rId23"/>
    <sheet xmlns:r="http://schemas.openxmlformats.org/officeDocument/2006/relationships" name="ExternalApp Tests" sheetId="24" state="visible" r:id="rId24"/>
    <sheet xmlns:r="http://schemas.openxmlformats.org/officeDocument/2006/relationships" name="Right to Left Text" sheetId="25" state="visible" r:id="rId25"/>
    <sheet xmlns:r="http://schemas.openxmlformats.org/officeDocument/2006/relationships" name="Updates (partial and failed)" sheetId="26" state="visible" r:id="rId26"/>
    <sheet xmlns:r="http://schemas.openxmlformats.org/officeDocument/2006/relationships" name="Recovery Measures" sheetId="27" state="visible" r:id="rId27"/>
    <sheet xmlns:r="http://schemas.openxmlformats.org/officeDocument/2006/relationships" name="Form Submissions" sheetId="28" state="visible" r:id="rId28"/>
    <sheet xmlns:r="http://schemas.openxmlformats.org/officeDocument/2006/relationships" name="NFC" sheetId="29" state="visible" r:id="rId29"/>
    <sheet xmlns:r="http://schemas.openxmlformats.org/officeDocument/2006/relationships" name="Trigger device logs" sheetId="30" state="visible" r:id="rId30"/>
    <sheet xmlns:r="http://schemas.openxmlformats.org/officeDocument/2006/relationships" name="Updates" sheetId="31" state="visible" r:id="rId31"/>
    <sheet xmlns:r="http://schemas.openxmlformats.org/officeDocument/2006/relationships" name="Auto Form Submission" sheetId="32" state="visible" r:id="rId32"/>
    <sheet xmlns:r="http://schemas.openxmlformats.org/officeDocument/2006/relationships" name="Mapbox" sheetId="33" state="visible" r:id="rId33"/>
    <sheet xmlns:r="http://schemas.openxmlformats.org/officeDocument/2006/relationships" name="Text to Speech" sheetId="34" state="visible" r:id="rId34"/>
    <sheet xmlns:r="http://schemas.openxmlformats.org/officeDocument/2006/relationships" name="Third Party Scanner" sheetId="35" state="visible" r:id="rId35"/>
    <sheet xmlns:r="http://schemas.openxmlformats.org/officeDocument/2006/relationships" name="Advanced Settings" sheetId="36" state="visible" r:id="rId36"/>
    <sheet xmlns:r="http://schemas.openxmlformats.org/officeDocument/2006/relationships" name="Performance Tests" sheetId="37" state="visible" r:id="rId37"/>
    <sheet xmlns:r="http://schemas.openxmlformats.org/officeDocument/2006/relationships" name="Case List Optimization and Cach" sheetId="38" state="visible" r:id="rId38"/>
    <sheet xmlns:r="http://schemas.openxmlformats.org/officeDocument/2006/relationships" name="Personal ID " sheetId="39" state="visible" r:id="rId39"/>
  </sheets>
  <definedNames/>
  <calcPr calcId="124519" fullCalcOnLoad="1"/>
</workbook>
</file>

<file path=xl/styles.xml><?xml version="1.0" encoding="utf-8"?>
<styleSheet xmlns="http://schemas.openxmlformats.org/spreadsheetml/2006/main">
  <numFmts count="2">
    <numFmt numFmtId="164" formatCode="mm/dd/yyyy"/>
    <numFmt numFmtId="165" formatCode="d mmmm"/>
  </numFmts>
  <fonts count="122">
    <font>
      <name val="Calibri"/>
      <color rgb="FF000000"/>
      <sz val="11"/>
    </font>
    <font>
      <name val="Arial"/>
      <b val="1"/>
      <color rgb="FFFFFFFF"/>
      <sz val="11"/>
    </font>
    <font>
      <name val="Roboto"/>
      <b val="1"/>
      <color rgb="FFFFFFFF"/>
      <sz val="12"/>
    </font>
    <font>
      <name val="Arial"/>
      <sz val="11"/>
    </font>
    <font/>
    <font>
      <name val="Arial"/>
      <color rgb="FF000000"/>
      <sz val="11"/>
      <u val="single"/>
    </font>
    <font>
      <name val="Arial"/>
      <b val="1"/>
      <sz val="11"/>
    </font>
    <font>
      <name val="Arial"/>
      <color rgb="FF000000"/>
      <sz val="11"/>
    </font>
    <font>
      <name val="Arial"/>
      <b val="1"/>
      <color rgb="FF000000"/>
      <sz val="11"/>
    </font>
    <font>
      <name val="Arial"/>
      <b val="1"/>
      <sz val="14"/>
    </font>
    <font>
      <name val="Roboto"/>
      <color rgb="FF0000FF"/>
      <sz val="11"/>
      <u val="single"/>
    </font>
    <font>
      <name val="Roboto"/>
      <sz val="11"/>
    </font>
    <font>
      <name val="Arial"/>
      <b val="1"/>
      <color rgb="FF1155CC"/>
      <sz val="11"/>
      <u val="single"/>
    </font>
    <font>
      <name val="Arial"/>
      <color rgb="FF0000FF"/>
      <sz val="11"/>
      <u val="single"/>
    </font>
    <font>
      <name val="Calibri"/>
      <b val="1"/>
      <color rgb="FF000000"/>
      <sz val="11"/>
    </font>
    <font>
      <name val="Arial"/>
      <color rgb="FF0000FF"/>
      <sz val="11"/>
      <u val="single"/>
    </font>
    <font>
      <name val="Arial"/>
      <color rgb="FF0000FF"/>
      <sz val="11"/>
      <u val="single"/>
    </font>
    <font>
      <name val="Arial"/>
      <b val="1"/>
      <color rgb="FF222222"/>
      <sz val="11"/>
    </font>
    <font>
      <name val="Calibri"/>
      <color rgb="FF0563C1"/>
      <sz val="11"/>
      <u val="single"/>
    </font>
    <font>
      <name val="Arial"/>
      <color rgb="FF0000FF"/>
      <sz val="11"/>
      <u val="single"/>
    </font>
    <font>
      <name val="Arial"/>
      <sz val="10"/>
    </font>
    <font>
      <name val="Arial"/>
      <b val="1"/>
      <sz val="10"/>
    </font>
    <font>
      <name val="Arial"/>
      <b val="1"/>
      <color rgb="FFFFFFFF"/>
      <sz val="11"/>
      <u val="single"/>
    </font>
    <font>
      <name val="Calibri"/>
      <sz val="11"/>
    </font>
    <font>
      <name val="Calibri"/>
    </font>
    <font>
      <name val="Arial"/>
      <color rgb="FF0000FF"/>
      <sz val="11"/>
    </font>
    <font>
      <name val="Arial"/>
      <color rgb="FF000000"/>
      <sz val="11"/>
      <u val="single"/>
    </font>
    <font>
      <sz val="11"/>
    </font>
    <font>
      <name val="Arial"/>
      <color rgb="FF000000"/>
      <sz val="10"/>
    </font>
    <font>
      <name val="Calibri"/>
      <color rgb="FF0563C1"/>
      <sz val="11"/>
      <u val="single"/>
    </font>
    <font>
      <name val="Arial"/>
      <color rgb="FF0563C1"/>
      <sz val="11"/>
      <u val="single"/>
    </font>
    <font>
      <name val="Arial"/>
      <strike val="1"/>
      <sz val="11"/>
    </font>
    <font>
      <name val="Arial"/>
      <strike val="1"/>
      <sz val="10"/>
    </font>
    <font>
      <name val="Arial"/>
      <strike val="1"/>
      <color rgb="FF000000"/>
      <sz val="10"/>
    </font>
    <font>
      <name val="Arial"/>
      <color rgb="FF1155CC"/>
      <sz val="11"/>
      <u val="single"/>
    </font>
    <font>
      <b val="1"/>
      <i val="1"/>
    </font>
    <font>
      <b val="1"/>
    </font>
    <font>
      <name val="Arial"/>
      <color rgb="FFFFFFFF"/>
      <sz val="11"/>
    </font>
    <font>
      <name val="Arial"/>
      <b val="1"/>
      <color rgb="FF000000"/>
      <sz val="10"/>
    </font>
    <font>
      <name val="Calibri"/>
      <color rgb="FF0563C1"/>
      <sz val="11"/>
      <u val="single"/>
    </font>
    <font>
      <name val="Arial"/>
      <color rgb="FF0000FF"/>
      <sz val="11"/>
      <u val="single"/>
    </font>
    <font>
      <name val="Arial"/>
    </font>
    <font>
      <name val="Arial"/>
      <b val="1"/>
      <color rgb="FFFFFFFF"/>
    </font>
    <font>
      <name val="Arial"/>
      <color rgb="FF0000FF"/>
      <sz val="11"/>
      <u val="single"/>
    </font>
    <font>
      <name val="Arial"/>
      <color rgb="FF0000FF"/>
      <sz val="11"/>
      <u val="single"/>
    </font>
    <font>
      <name val="Arial"/>
      <color rgb="FF0563C1"/>
      <sz val="11"/>
      <u val="single"/>
    </font>
    <font>
      <name val="Arial"/>
      <b val="1"/>
      <i val="1"/>
      <color rgb="FFFFFFFF"/>
    </font>
    <font>
      <name val="Arial"/>
      <b val="1"/>
      <color rgb="FFFFFFFF"/>
      <sz val="10"/>
    </font>
    <font>
      <name val="Arial"/>
      <b val="1"/>
    </font>
    <font>
      <name val="Arial"/>
      <color rgb="FF0000FF"/>
      <u val="single"/>
    </font>
    <font>
      <name val="Calibri"/>
      <b val="1"/>
      <color rgb="FF000000"/>
      <sz val="13"/>
    </font>
    <font>
      <name val="Calibri"/>
      <b val="1"/>
      <color rgb="FFFFFFFF"/>
      <sz val="11"/>
    </font>
    <font>
      <name val="Calibri"/>
      <b val="1"/>
      <color rgb="FF1155CC"/>
      <sz val="11"/>
      <u val="single"/>
    </font>
    <font>
      <name val="Arial"/>
      <color rgb="FF1155CC"/>
      <sz val="11"/>
      <u val="single"/>
    </font>
    <font>
      <name val="Arial"/>
      <color rgb="FF1155CC"/>
      <sz val="11"/>
      <u val="single"/>
    </font>
    <font>
      <name val="Calibri"/>
      <b val="1"/>
      <color rgb="FF1155CC"/>
      <sz val="11"/>
      <u val="single"/>
    </font>
    <font>
      <name val="Calibri"/>
      <b val="1"/>
      <color rgb="FF1155CC"/>
      <sz val="11"/>
      <u val="single"/>
    </font>
    <font>
      <name val="Arial"/>
      <color rgb="FF0563C1"/>
      <sz val="11"/>
      <u val="single"/>
    </font>
    <font>
      <name val="Arial"/>
      <color rgb="FF0000FF"/>
      <sz val="11"/>
      <u val="single"/>
    </font>
    <font>
      <name val="Arial"/>
      <color rgb="FF0000FF"/>
      <sz val="11"/>
      <u val="single"/>
    </font>
    <font>
      <name val="Arial"/>
      <color rgb="FF000000"/>
      <sz val="11"/>
      <u val="single"/>
    </font>
    <font>
      <name val="Calibri"/>
      <b val="1"/>
      <color rgb="FF1155CC"/>
      <sz val="11"/>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1155CC"/>
      <sz val="11"/>
      <u val="single"/>
    </font>
    <font>
      <name val="Arial"/>
      <color rgb="FF0000FF"/>
      <sz val="11"/>
      <u val="single"/>
    </font>
    <font>
      <name val="Arial"/>
      <color rgb="FF0000FF"/>
      <sz val="10"/>
      <u val="single"/>
    </font>
    <font>
      <name val="Arial"/>
      <color rgb="FF0000FF"/>
      <sz val="10"/>
      <u val="single"/>
    </font>
    <font>
      <strike val="1"/>
    </font>
    <font>
      <name val="Arial"/>
      <color rgb="FF0000FF"/>
      <sz val="11"/>
      <u val="single"/>
    </font>
    <font>
      <name val="Arial"/>
      <color rgb="FF0000FF"/>
      <sz val="10"/>
      <u val="single"/>
    </font>
    <font>
      <name val="Arial"/>
      <color rgb="FF222222"/>
      <sz val="10"/>
      <u val="single"/>
    </font>
    <font>
      <color rgb="FF1155CC"/>
      <sz val="10"/>
      <u val="single"/>
    </font>
    <font>
      <sz val="10"/>
    </font>
    <font>
      <name val="Arial"/>
      <color rgb="FF0563C1"/>
      <sz val="10"/>
      <u val="single"/>
    </font>
    <font>
      <name val="Arial"/>
      <color rgb="FF172B4D"/>
      <sz val="10"/>
    </font>
    <font>
      <name val="Arial"/>
      <color rgb="FF1155CC"/>
      <sz val="10"/>
      <u val="single"/>
    </font>
    <font>
      <name val="Arial"/>
      <color rgb="FF1155CC"/>
      <sz val="10"/>
      <u val="single"/>
    </font>
    <font>
      <name val="Arial"/>
      <color rgb="FF0000FF"/>
      <sz val="10"/>
      <u val="single"/>
    </font>
    <font>
      <name val="Arial"/>
      <b val="1"/>
      <color rgb="FF1155CC"/>
      <sz val="11"/>
      <u val="single"/>
    </font>
    <font>
      <name val="Arial"/>
      <b val="1"/>
      <color rgb="FFFFFFFF"/>
      <sz val="10"/>
      <u val="single"/>
    </font>
    <font>
      <name val="Arial"/>
      <b val="1"/>
      <color rgb="FF000000"/>
      <sz val="10"/>
      <u val="single"/>
    </font>
    <font>
      <name val="Arial"/>
      <b val="1"/>
      <sz val="18"/>
    </font>
    <font>
      <name val="Arial"/>
      <color rgb="FF0000FF"/>
      <sz val="10"/>
      <u val="single"/>
    </font>
    <font>
      <name val="Arial"/>
      <b val="1"/>
      <color rgb="FFFFFFFF"/>
      <sz val="10"/>
      <u val="single"/>
    </font>
    <font>
      <name val="Arial"/>
      <b val="1"/>
      <color rgb="FF000000"/>
      <sz val="10"/>
      <u val="single"/>
    </font>
    <font>
      <color rgb="FF1155CC"/>
      <u val="single"/>
    </font>
    <font>
      <name val="Arial"/>
      <color rgb="FF181715"/>
      <sz val="11"/>
    </font>
    <font>
      <name val="Calibri"/>
      <color rgb="FF1155CC"/>
      <sz val="11"/>
      <u val="single"/>
    </font>
    <font>
      <name val="Arial"/>
      <color rgb="FF0000FF"/>
      <sz val="11"/>
      <u val="single"/>
    </font>
    <font>
      <name val="Arial"/>
      <color rgb="FF1155CC"/>
      <sz val="10"/>
      <u val="single"/>
    </font>
    <font>
      <name val="Arial"/>
      <b val="1"/>
      <color rgb="FF0000FF"/>
      <sz val="11"/>
      <u val="single"/>
    </font>
    <font>
      <name val="Roboto"/>
      <color rgb="FF000000"/>
      <sz val="11"/>
    </font>
    <font>
      <name val="Roboto"/>
      <color rgb="FF0000FF"/>
      <sz val="11"/>
      <u val="single"/>
    </font>
    <font>
      <name val="Roboto"/>
      <color rgb="FF0000FF"/>
      <sz val="11"/>
      <u val="single"/>
    </font>
    <font>
      <name val="Arial"/>
      <color rgb="FF000000"/>
    </font>
    <font>
      <name val="Arial"/>
      <b val="1"/>
      <color rgb="FF1155CC"/>
      <sz val="10"/>
      <u val="single"/>
    </font>
    <font>
      <name val="Arial"/>
      <color rgb="FF0000FF"/>
      <sz val="11"/>
      <u val="single"/>
    </font>
    <font>
      <name val="Arial"/>
      <color rgb="FF0000FF"/>
      <sz val="11"/>
      <u val="single"/>
    </font>
    <font>
      <name val="Arial"/>
      <color rgb="FF0000FF"/>
      <sz val="11"/>
      <u val="single"/>
    </font>
    <font>
      <name val="Arial"/>
      <color rgb="FF292A2E"/>
      <sz val="11"/>
    </font>
    <font>
      <name val="Arial"/>
      <color rgb="FF1155CC"/>
      <sz val="11"/>
      <u val="single"/>
    </font>
    <font>
      <name val="Arial"/>
      <b val="1"/>
      <color rgb="FFFF0000"/>
      <sz val="13"/>
    </font>
    <font>
      <name val="Arial"/>
      <color rgb="FF0000FF"/>
      <sz val="11"/>
      <u val="single"/>
    </font>
    <font>
      <name val="Arial"/>
      <color rgb="FF0000FF"/>
      <sz val="11"/>
      <u val="single"/>
    </font>
    <font>
      <name val="Arial"/>
      <b val="1"/>
      <i val="1"/>
      <sz val="11"/>
    </font>
    <font>
      <name val="Arial"/>
      <color rgb="FF0000FF"/>
      <sz val="11"/>
      <u val="single"/>
    </font>
    <font>
      <name val="Calibri"/>
      <b val="1"/>
      <sz val="11"/>
    </font>
    <font>
      <color rgb="FF1155CC"/>
      <u val="single"/>
    </font>
    <font>
      <name val="Arial"/>
      <color rgb="FF1155CC"/>
      <sz val="11"/>
      <u val="single"/>
    </font>
    <font>
      <name val="Roboto"/>
      <b val="1"/>
      <color rgb="FFFFFFFF"/>
      <sz val="11"/>
    </font>
    <font>
      <name val="Roboto"/>
      <b val="1"/>
      <color rgb="FF1155CC"/>
      <sz val="11"/>
      <u val="single"/>
    </font>
    <font>
      <name val="Roboto"/>
      <b val="1"/>
      <color rgb="FF000000"/>
      <sz val="11"/>
    </font>
    <font>
      <name val="Roboto"/>
      <color rgb="FF000000"/>
      <sz val="11"/>
      <u val="single"/>
    </font>
    <font>
      <name val="Roboto"/>
    </font>
    <font>
      <name val="Roboto"/>
      <b val="1"/>
      <sz val="11"/>
    </font>
    <font>
      <name val="Arial"/>
      <color rgb="FF0000FF"/>
      <sz val="11"/>
      <u val="single"/>
    </font>
    <font>
      <name val="Roboto"/>
      <color rgb="FF0000FF"/>
      <u val="single"/>
    </font>
    <font>
      <name val="Arial"/>
      <color rgb="FF0000FF"/>
      <sz val="11"/>
      <u val="single"/>
    </font>
    <font>
      <name val="Arial"/>
      <color rgb="FF0000FF"/>
      <u val="single"/>
    </font>
  </fonts>
  <fills count="27">
    <fill>
      <patternFill/>
    </fill>
    <fill>
      <patternFill patternType="lightGray"/>
    </fill>
    <fill>
      <patternFill patternType="solid">
        <fgColor rgb="FF1C4587"/>
        <bgColor rgb="FF1C4587"/>
      </patternFill>
    </fill>
    <fill>
      <patternFill patternType="solid">
        <fgColor rgb="FF0B5394"/>
        <bgColor rgb="FF0B5394"/>
      </patternFill>
    </fill>
    <fill>
      <patternFill patternType="solid">
        <fgColor rgb="FFFFF2CC"/>
        <bgColor rgb="FFFFF2CC"/>
      </patternFill>
    </fill>
    <fill>
      <patternFill patternType="solid">
        <fgColor rgb="FFF3F3F3"/>
        <bgColor rgb="FFF3F3F3"/>
      </patternFill>
    </fill>
    <fill>
      <patternFill patternType="solid">
        <fgColor rgb="FFB7E1CD"/>
        <bgColor rgb="FFB7E1CD"/>
      </patternFill>
    </fill>
    <fill>
      <patternFill patternType="solid">
        <fgColor rgb="FF9FC5E8"/>
        <bgColor rgb="FF9FC5E8"/>
      </patternFill>
    </fill>
    <fill>
      <patternFill patternType="solid">
        <fgColor rgb="FFF4C7C3"/>
        <bgColor rgb="FFF4C7C3"/>
      </patternFill>
    </fill>
    <fill>
      <patternFill patternType="solid">
        <fgColor rgb="FFFFFFFF"/>
        <bgColor rgb="FFFFFFFF"/>
      </patternFill>
    </fill>
    <fill>
      <patternFill patternType="solid">
        <fgColor rgb="FFCFE2F3"/>
        <bgColor rgb="FFCFE2F3"/>
      </patternFill>
    </fill>
    <fill>
      <patternFill patternType="solid">
        <fgColor rgb="FFEBFF9F"/>
        <bgColor rgb="FFEBFF9F"/>
      </patternFill>
    </fill>
    <fill>
      <patternFill patternType="solid">
        <fgColor rgb="FFA61C00"/>
        <bgColor rgb="FFA61C00"/>
      </patternFill>
    </fill>
    <fill>
      <patternFill patternType="solid">
        <fgColor rgb="FF073763"/>
        <bgColor rgb="FF073763"/>
      </patternFill>
    </fill>
    <fill>
      <patternFill patternType="solid">
        <fgColor rgb="FF000000"/>
        <bgColor rgb="FF000000"/>
      </patternFill>
    </fill>
    <fill>
      <patternFill patternType="solid">
        <fgColor rgb="FFFCE8B2"/>
        <bgColor rgb="FFFCE8B2"/>
      </patternFill>
    </fill>
    <fill>
      <patternFill patternType="solid">
        <fgColor rgb="FF980000"/>
        <bgColor rgb="FF980000"/>
      </patternFill>
    </fill>
    <fill>
      <patternFill patternType="solid">
        <fgColor rgb="FF999999"/>
        <bgColor rgb="FF999999"/>
      </patternFill>
    </fill>
    <fill>
      <patternFill patternType="solid">
        <fgColor rgb="FFF6B26B"/>
        <bgColor rgb="FFF6B26B"/>
      </patternFill>
    </fill>
    <fill>
      <patternFill patternType="solid">
        <fgColor rgb="FFCCCCCC"/>
        <bgColor rgb="FFCCCCCC"/>
      </patternFill>
    </fill>
    <fill>
      <patternFill patternType="solid">
        <fgColor rgb="FFFFE599"/>
        <bgColor rgb="FFFFE599"/>
      </patternFill>
    </fill>
    <fill>
      <patternFill patternType="solid">
        <fgColor rgb="FF244061"/>
        <bgColor rgb="FF244061"/>
      </patternFill>
    </fill>
    <fill>
      <patternFill patternType="solid">
        <fgColor rgb="FFD9D9D9"/>
        <bgColor rgb="FFD9D9D9"/>
      </patternFill>
    </fill>
    <fill>
      <patternFill patternType="solid">
        <fgColor rgb="00DDEBF7"/>
      </patternFill>
    </fill>
    <fill>
      <patternFill patternType="solid">
        <fgColor rgb="00F8CBAD"/>
      </patternFill>
    </fill>
    <fill>
      <patternFill patternType="solid">
        <fgColor rgb="00F2F2F2"/>
      </patternFill>
    </fill>
    <fill>
      <patternFill patternType="solid">
        <fgColor rgb="00C6E0B4"/>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border>
    <border>
      <left/>
      <right/>
      <top/>
      <bottom style="thin">
        <color rgb="FF000000"/>
      </bottom>
    </border>
  </borders>
  <cellStyleXfs count="1">
    <xf numFmtId="0" fontId="0" fillId="0" borderId="0"/>
  </cellStyleXfs>
  <cellXfs count="711">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3" borderId="0" applyAlignment="1" pivotButton="0" quotePrefix="0" xfId="0">
      <alignment horizontal="center" vertical="bottom" wrapText="1"/>
    </xf>
    <xf numFmtId="0" fontId="3" fillId="0" borderId="2" applyAlignment="1" pivotButton="0" quotePrefix="0" xfId="0">
      <alignment horizontal="left" vertical="center" wrapText="1"/>
    </xf>
    <xf numFmtId="0" fontId="2" fillId="3" borderId="0" applyAlignment="1" pivotButton="0" quotePrefix="0" xfId="0">
      <alignment horizontal="center" vertical="bottom" wrapText="1"/>
    </xf>
    <xf numFmtId="0" fontId="4" fillId="0" borderId="3" pivotButton="0" quotePrefix="0" xfId="0"/>
    <xf numFmtId="0" fontId="5" fillId="4" borderId="0" applyAlignment="1" pivotButton="0" quotePrefix="0" xfId="0">
      <alignment horizontal="left" vertical="center" wrapText="1"/>
    </xf>
    <xf numFmtId="0" fontId="6" fillId="0" borderId="4" applyAlignment="1" pivotButton="0" quotePrefix="0" xfId="0">
      <alignment horizontal="center" vertical="center"/>
    </xf>
    <xf numFmtId="0" fontId="7" fillId="0" borderId="0" applyAlignment="1" pivotButton="0" quotePrefix="0" xfId="0">
      <alignment horizontal="left" vertical="center" wrapText="1"/>
    </xf>
    <xf numFmtId="0" fontId="8" fillId="0" borderId="0" applyAlignment="1" pivotButton="0" quotePrefix="0" xfId="0">
      <alignment horizontal="left" vertical="top" wrapText="1"/>
    </xf>
    <xf numFmtId="0" fontId="7" fillId="0" borderId="0" applyAlignment="1" pivotButton="0" quotePrefix="0" xfId="0">
      <alignment horizontal="left" vertical="center" wrapText="1"/>
    </xf>
    <xf numFmtId="0" fontId="7" fillId="0" borderId="0" applyAlignment="1" pivotButton="0" quotePrefix="0" xfId="0">
      <alignment horizontal="left" vertical="top" wrapText="1"/>
    </xf>
    <xf numFmtId="0" fontId="9" fillId="0" borderId="5" applyAlignment="1" pivotButton="0" quotePrefix="0" xfId="0">
      <alignment horizontal="center" vertical="center"/>
    </xf>
    <xf numFmtId="0" fontId="4" fillId="0" borderId="6" pivotButton="0" quotePrefix="0" xfId="0"/>
    <xf numFmtId="0" fontId="7" fillId="0" borderId="0" applyAlignment="1" pivotButton="0" quotePrefix="0" xfId="0">
      <alignment horizontal="left" vertical="top" wrapText="1"/>
    </xf>
    <xf numFmtId="0" fontId="4" fillId="0" borderId="7" pivotButton="0" quotePrefix="0" xfId="0"/>
    <xf numFmtId="0" fontId="10" fillId="5" borderId="1" applyAlignment="1" pivotButton="0" quotePrefix="0" xfId="0">
      <alignment vertical="top" wrapText="1"/>
    </xf>
    <xf numFmtId="0" fontId="6" fillId="0" borderId="8" applyAlignment="1" pivotButton="0" quotePrefix="0" xfId="0">
      <alignment horizontal="center" vertical="center"/>
    </xf>
    <xf numFmtId="0" fontId="1" fillId="2" borderId="1" applyAlignment="1" pivotButton="0" quotePrefix="0" xfId="0">
      <alignment horizontal="left" vertical="center" wrapText="1"/>
    </xf>
    <xf numFmtId="0" fontId="11" fillId="5" borderId="1" applyAlignment="1" pivotButton="0" quotePrefix="0" xfId="0">
      <alignment vertical="top" wrapText="1"/>
    </xf>
    <xf numFmtId="0" fontId="3" fillId="0" borderId="8"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11" fillId="5" borderId="2" applyAlignment="1" pivotButton="0" quotePrefix="0" xfId="0">
      <alignment vertical="bottom" wrapText="1"/>
    </xf>
    <xf numFmtId="0" fontId="4" fillId="0" borderId="9" pivotButton="0" quotePrefix="0" xfId="0"/>
    <xf numFmtId="0" fontId="4" fillId="0" borderId="10" pivotButton="0" quotePrefix="0" xfId="0"/>
    <xf numFmtId="0" fontId="4" fillId="0" borderId="8" pivotButton="0" quotePrefix="0" xfId="0"/>
    <xf numFmtId="0" fontId="4" fillId="0" borderId="11" pivotButton="0" quotePrefix="0" xfId="0"/>
    <xf numFmtId="0" fontId="7" fillId="6" borderId="2" applyAlignment="1" pivotButton="0" quotePrefix="0" xfId="0">
      <alignment horizontal="center" vertical="center"/>
    </xf>
    <xf numFmtId="0" fontId="12" fillId="0" borderId="2" applyAlignment="1" pivotButton="0" quotePrefix="0" xfId="0">
      <alignment horizontal="left" vertical="center" wrapText="1"/>
    </xf>
    <xf numFmtId="0" fontId="3" fillId="0" borderId="2" applyAlignment="1" pivotButton="0" quotePrefix="0" xfId="0">
      <alignment horizontal="left" vertical="center" wrapText="1"/>
    </xf>
    <xf numFmtId="0" fontId="4" fillId="0" borderId="12" pivotButton="0" quotePrefix="0" xfId="0"/>
    <xf numFmtId="0" fontId="3" fillId="0" borderId="0" applyAlignment="1" pivotButton="0" quotePrefix="0" xfId="0">
      <alignment horizontal="left" vertical="center"/>
    </xf>
    <xf numFmtId="0" fontId="8" fillId="7" borderId="2" applyAlignment="1" pivotButton="0" quotePrefix="0" xfId="0">
      <alignment horizontal="left" vertical="top" wrapText="1"/>
    </xf>
    <xf numFmtId="0" fontId="7" fillId="8" borderId="2" applyAlignment="1" pivotButton="0" quotePrefix="0" xfId="0">
      <alignment horizontal="center" vertical="center"/>
    </xf>
    <xf numFmtId="0" fontId="1" fillId="2" borderId="1" applyAlignment="1" pivotButton="0" quotePrefix="0" xfId="0">
      <alignment horizontal="left" vertical="center" wrapText="1"/>
    </xf>
    <xf numFmtId="0" fontId="4" fillId="0" borderId="13" pivotButton="0" quotePrefix="0" xfId="0"/>
    <xf numFmtId="0" fontId="3" fillId="0" borderId="2" applyAlignment="1" pivotButton="0" quotePrefix="0" xfId="0">
      <alignment horizontal="left" vertical="center" wrapText="1"/>
    </xf>
    <xf numFmtId="0" fontId="3" fillId="0" borderId="2" applyAlignment="1" pivotButton="0" quotePrefix="0" xfId="0">
      <alignment horizontal="left" vertical="center" wrapText="1"/>
    </xf>
    <xf numFmtId="0" fontId="3" fillId="9" borderId="0" applyAlignment="1" pivotButton="0" quotePrefix="0" xfId="0">
      <alignment horizontal="left" vertical="center" wrapText="1"/>
    </xf>
    <xf numFmtId="0" fontId="13" fillId="0" borderId="2"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top" wrapText="1"/>
    </xf>
    <xf numFmtId="0" fontId="14"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 fillId="2" borderId="1" applyAlignment="1" pivotButton="0" quotePrefix="0" xfId="0">
      <alignment horizontal="left" vertical="top" wrapText="1"/>
    </xf>
    <xf numFmtId="0" fontId="6" fillId="0" borderId="0" applyAlignment="1" pivotButton="0" quotePrefix="0" xfId="0">
      <alignment horizontal="left" vertical="center" wrapText="1"/>
    </xf>
    <xf numFmtId="0" fontId="1" fillId="2" borderId="1" applyAlignment="1" pivotButton="0" quotePrefix="0" xfId="0">
      <alignment horizontal="left" vertical="top" wrapText="1"/>
    </xf>
    <xf numFmtId="0" fontId="3" fillId="0" borderId="1" applyAlignment="1" pivotButton="0" quotePrefix="0" xfId="0">
      <alignment horizontal="left" vertical="center" wrapText="1"/>
    </xf>
    <xf numFmtId="0" fontId="6" fillId="0" borderId="0" applyAlignment="1" pivotButton="0" quotePrefix="0" xfId="0">
      <alignment horizontal="left" vertical="top" wrapText="1"/>
    </xf>
    <xf numFmtId="0" fontId="7" fillId="10" borderId="5" applyAlignment="1" pivotButton="0" quotePrefix="0" xfId="0">
      <alignment horizontal="left" vertical="top" wrapText="1"/>
    </xf>
    <xf numFmtId="0" fontId="15" fillId="0" borderId="1" applyAlignment="1" pivotButton="0" quotePrefix="0" xfId="0">
      <alignment horizontal="left" vertical="center" wrapText="1"/>
    </xf>
    <xf numFmtId="0" fontId="7" fillId="4" borderId="2" applyAlignment="1" pivotButton="0" quotePrefix="0" xfId="0">
      <alignment horizontal="center" vertical="center"/>
    </xf>
    <xf numFmtId="0" fontId="16" fillId="0" borderId="1" applyAlignment="1" pivotButton="0" quotePrefix="0" xfId="0">
      <alignment horizontal="left" vertical="top" wrapText="1"/>
    </xf>
    <xf numFmtId="0" fontId="7" fillId="11" borderId="1"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0">
      <alignment wrapText="1"/>
    </xf>
    <xf numFmtId="0" fontId="3" fillId="0" borderId="1" applyAlignment="1" pivotButton="0" quotePrefix="0" xfId="0">
      <alignment vertical="center"/>
    </xf>
    <xf numFmtId="0" fontId="3" fillId="0" borderId="1" applyAlignment="1" pivotButton="0" quotePrefix="0" xfId="0">
      <alignment vertical="bottom"/>
    </xf>
    <xf numFmtId="0" fontId="3" fillId="0" borderId="0" applyAlignment="1" pivotButton="0" quotePrefix="0" xfId="0">
      <alignment vertical="center"/>
    </xf>
    <xf numFmtId="0" fontId="3" fillId="0" borderId="0" applyAlignment="1" pivotButton="0" quotePrefix="0" xfId="0">
      <alignment vertical="bottom"/>
    </xf>
    <xf numFmtId="0" fontId="17" fillId="12" borderId="2" applyAlignment="1" pivotButton="0" quotePrefix="0" xfId="0">
      <alignment horizontal="center" vertical="center" wrapText="1"/>
    </xf>
    <xf numFmtId="0" fontId="3" fillId="0" borderId="1" applyAlignment="1" pivotButton="0" quotePrefix="0" xfId="0">
      <alignment horizontal="left" vertical="top" wrapText="1"/>
    </xf>
    <xf numFmtId="0" fontId="1" fillId="0" borderId="0" applyAlignment="1" pivotButton="0" quotePrefix="0" xfId="0">
      <alignment horizontal="center" vertical="center"/>
    </xf>
    <xf numFmtId="0" fontId="7" fillId="0" borderId="0" applyAlignment="1" pivotButton="0" quotePrefix="0" xfId="0">
      <alignment horizontal="left" vertical="center" wrapText="1"/>
    </xf>
    <xf numFmtId="0" fontId="7" fillId="0" borderId="2" applyAlignment="1" pivotButton="0" quotePrefix="0" xfId="0">
      <alignment horizontal="center" vertical="center"/>
    </xf>
    <xf numFmtId="0" fontId="3" fillId="0" borderId="0" applyAlignment="1" pivotButton="0" quotePrefix="0" xfId="0">
      <alignment horizontal="left" vertical="center"/>
    </xf>
    <xf numFmtId="0" fontId="1" fillId="13" borderId="13" applyAlignment="1" pivotButton="0" quotePrefix="0" xfId="0">
      <alignment horizontal="center" vertical="center"/>
    </xf>
    <xf numFmtId="0" fontId="18" fillId="0" borderId="2" applyAlignment="1" pivotButton="0" quotePrefix="0" xfId="0">
      <alignment horizontal="left" vertical="center" wrapText="1"/>
    </xf>
    <xf numFmtId="0" fontId="1" fillId="13" borderId="0" applyAlignment="1" pivotButton="0" quotePrefix="0" xfId="0">
      <alignment horizontal="center" vertical="center"/>
    </xf>
    <xf numFmtId="0" fontId="4" fillId="0" borderId="14" pivotButton="0" quotePrefix="0" xfId="0"/>
    <xf numFmtId="0" fontId="19" fillId="0" borderId="1" applyAlignment="1" pivotButton="0" quotePrefix="0" xfId="0">
      <alignment horizontal="left" wrapText="1"/>
    </xf>
    <xf numFmtId="0" fontId="3" fillId="0" borderId="1" applyAlignment="1" pivotButton="0" quotePrefix="0" xfId="0">
      <alignment horizontal="center" vertical="center"/>
    </xf>
    <xf numFmtId="0" fontId="3" fillId="0" borderId="0" applyAlignment="1" pivotButton="0" quotePrefix="0" xfId="0">
      <alignment vertical="bottom"/>
    </xf>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3" fillId="0" borderId="2" applyAlignment="1" pivotButton="0" quotePrefix="0" xfId="0">
      <alignment horizontal="center" vertical="center"/>
    </xf>
    <xf numFmtId="0" fontId="3" fillId="0" borderId="1" applyAlignment="1" pivotButton="0" quotePrefix="0" xfId="0">
      <alignment horizontal="left" wrapText="1"/>
    </xf>
    <xf numFmtId="0" fontId="3" fillId="0" borderId="1" applyAlignment="1" pivotButton="0" quotePrefix="0" xfId="0">
      <alignment horizontal="left" vertical="top" wrapText="1"/>
    </xf>
    <xf numFmtId="0" fontId="20" fillId="9" borderId="0" applyAlignment="1" pivotButton="0" quotePrefix="0" xfId="0">
      <alignment horizontal="left" vertical="center" wrapText="1"/>
    </xf>
    <xf numFmtId="164" fontId="3" fillId="0" borderId="0" applyAlignment="1" pivotButton="0" quotePrefix="0" xfId="0">
      <alignment horizontal="center" vertical="center"/>
    </xf>
    <xf numFmtId="0" fontId="2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 fillId="13" borderId="1" applyAlignment="1" pivotButton="0" quotePrefix="0" xfId="0">
      <alignment horizontal="center" vertical="center"/>
    </xf>
    <xf numFmtId="0" fontId="1" fillId="2" borderId="1" applyAlignment="1" pivotButton="0" quotePrefix="0" xfId="0">
      <alignment horizontal="left" vertical="center" wrapText="1"/>
    </xf>
    <xf numFmtId="0" fontId="6" fillId="0" borderId="2" applyAlignment="1" pivotButton="0" quotePrefix="0" xfId="0">
      <alignment horizontal="left" vertical="center" wrapText="1"/>
    </xf>
    <xf numFmtId="0" fontId="3" fillId="14" borderId="0" applyAlignment="1" pivotButton="0" quotePrefix="0" xfId="0">
      <alignment horizontal="left" vertical="top" wrapText="1"/>
    </xf>
    <xf numFmtId="0" fontId="1" fillId="13" borderId="0" applyAlignment="1" pivotButton="0" quotePrefix="0" xfId="0">
      <alignment horizontal="center" vertical="center"/>
    </xf>
    <xf numFmtId="0" fontId="21" fillId="0" borderId="0" applyAlignment="1" pivotButton="0" quotePrefix="0" xfId="0">
      <alignment horizontal="left" vertical="center" wrapText="1"/>
    </xf>
    <xf numFmtId="0" fontId="3" fillId="0" borderId="1" applyAlignment="1" pivotButton="0" quotePrefix="0" xfId="0">
      <alignment horizontal="left" vertical="center" wrapText="1"/>
    </xf>
    <xf numFmtId="0" fontId="7" fillId="0" borderId="1" applyAlignment="1" pivotButton="0" quotePrefix="0" xfId="0">
      <alignment horizontal="left" vertical="center" wrapText="1"/>
    </xf>
    <xf numFmtId="0" fontId="4" fillId="0" borderId="1" applyAlignment="1" pivotButton="0" quotePrefix="0" xfId="0">
      <alignment vertical="center" wrapText="1"/>
    </xf>
    <xf numFmtId="0" fontId="22" fillId="13" borderId="1" applyAlignment="1" pivotButton="0" quotePrefix="0" xfId="0">
      <alignment horizontal="center" vertical="center"/>
    </xf>
    <xf numFmtId="0" fontId="23" fillId="0" borderId="1" applyAlignment="1" pivotButton="0" quotePrefix="0" xfId="0">
      <alignment vertical="center"/>
    </xf>
    <xf numFmtId="0" fontId="7" fillId="0" borderId="1" applyAlignment="1" pivotButton="0" quotePrefix="0" xfId="0">
      <alignment horizontal="left" vertical="center" wrapText="1"/>
    </xf>
    <xf numFmtId="0" fontId="24" fillId="0" borderId="0" applyAlignment="1" pivotButton="0" quotePrefix="0" xfId="0">
      <alignment vertical="center"/>
    </xf>
    <xf numFmtId="0" fontId="3" fillId="0" borderId="0" applyAlignment="1" pivotButton="0" quotePrefix="0" xfId="0">
      <alignment horizontal="center" vertical="center"/>
    </xf>
    <xf numFmtId="0" fontId="25" fillId="0" borderId="1" applyAlignment="1" pivotButton="0" quotePrefix="0" xfId="0">
      <alignment horizontal="left" vertical="top" wrapText="1"/>
    </xf>
    <xf numFmtId="0" fontId="26" fillId="0" borderId="1" applyAlignment="1" pivotButton="0" quotePrefix="0" xfId="0">
      <alignment horizontal="left" vertical="center" wrapText="1"/>
    </xf>
    <xf numFmtId="0" fontId="7" fillId="6" borderId="1" applyAlignment="1" pivotButton="0" quotePrefix="0" xfId="0">
      <alignment horizontal="center" vertical="center"/>
    </xf>
    <xf numFmtId="0" fontId="27" fillId="0" borderId="1" applyAlignment="1" pivotButton="0" quotePrefix="0" xfId="0">
      <alignment vertical="center"/>
    </xf>
    <xf numFmtId="0" fontId="3" fillId="8" borderId="1" applyAlignment="1" pivotButton="0" quotePrefix="0" xfId="0">
      <alignment horizontal="center" vertical="center"/>
    </xf>
    <xf numFmtId="0" fontId="4" fillId="0" borderId="0" applyAlignment="1" pivotButton="0" quotePrefix="0" xfId="0">
      <alignment vertical="center"/>
    </xf>
    <xf numFmtId="0" fontId="7" fillId="0" borderId="1" applyAlignment="1" pivotButton="0" quotePrefix="0" xfId="0">
      <alignment horizontal="left" vertical="top" wrapText="1"/>
    </xf>
    <xf numFmtId="0" fontId="3" fillId="15" borderId="1" applyAlignment="1" pivotButton="0" quotePrefix="0" xfId="0">
      <alignment horizontal="center" vertical="center"/>
    </xf>
    <xf numFmtId="0" fontId="24" fillId="0" borderId="0" applyAlignment="1" pivotButton="0" quotePrefix="0" xfId="0">
      <alignment vertical="center"/>
    </xf>
    <xf numFmtId="0" fontId="3" fillId="16" borderId="1" applyAlignment="1" pivotButton="0" quotePrefix="0" xfId="0">
      <alignment horizontal="center" vertical="center"/>
    </xf>
    <xf numFmtId="0" fontId="7" fillId="0" borderId="1" applyAlignment="1" pivotButton="0" quotePrefix="0" xfId="0">
      <alignment horizontal="left" vertical="top" wrapText="1"/>
    </xf>
    <xf numFmtId="0" fontId="7" fillId="17"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center"/>
    </xf>
    <xf numFmtId="164" fontId="3" fillId="0" borderId="1" applyAlignment="1" pivotButton="0" quotePrefix="0" xfId="0">
      <alignment horizontal="center"/>
    </xf>
    <xf numFmtId="0" fontId="3" fillId="0" borderId="4" applyAlignment="1" pivotButton="0" quotePrefix="0" xfId="0">
      <alignment horizontal="center" vertical="center"/>
    </xf>
    <xf numFmtId="0" fontId="1" fillId="2" borderId="1" applyAlignment="1" pivotButton="0" quotePrefix="0" xfId="0">
      <alignment horizontal="left" vertical="top" wrapText="1"/>
    </xf>
    <xf numFmtId="0" fontId="3" fillId="0" borderId="1" applyAlignment="1" pivotButton="0" quotePrefix="0" xfId="0">
      <alignment horizontal="center" vertical="center"/>
    </xf>
    <xf numFmtId="0" fontId="3" fillId="0" borderId="2" applyAlignment="1" pivotButton="0" quotePrefix="0" xfId="0">
      <alignment horizontal="left" vertical="top" wrapText="1"/>
    </xf>
    <xf numFmtId="0" fontId="20" fillId="9" borderId="0" applyAlignment="1" pivotButton="0" quotePrefix="0" xfId="0">
      <alignment horizontal="left" vertical="top" wrapText="1"/>
    </xf>
    <xf numFmtId="0" fontId="3" fillId="0" borderId="2" applyAlignment="1" pivotButton="0" quotePrefix="0" xfId="0">
      <alignment horizontal="left" vertical="top" wrapText="1"/>
    </xf>
    <xf numFmtId="0" fontId="28" fillId="0" borderId="0" applyAlignment="1" pivotButton="0" quotePrefix="0" xfId="0">
      <alignment horizontal="left" vertical="top" wrapText="1"/>
    </xf>
    <xf numFmtId="0" fontId="0" fillId="0" borderId="0" applyAlignment="1" pivotButton="0" quotePrefix="0" xfId="0">
      <alignment horizontal="left" vertical="top" wrapText="1"/>
    </xf>
    <xf numFmtId="0" fontId="28" fillId="0" borderId="0" applyAlignment="1" pivotButton="0" quotePrefix="0" xfId="0">
      <alignment horizontal="left" vertical="top"/>
    </xf>
    <xf numFmtId="0" fontId="14" fillId="0" borderId="0" applyAlignment="1" pivotButton="0" quotePrefix="0" xfId="0">
      <alignment horizontal="left" vertical="top" wrapText="1"/>
    </xf>
    <xf numFmtId="0" fontId="0" fillId="0" borderId="0" applyAlignment="1" pivotButton="0" quotePrefix="0" xfId="0">
      <alignment horizontal="left" vertical="top" wrapText="1"/>
    </xf>
    <xf numFmtId="0" fontId="20" fillId="9" borderId="0" applyAlignment="1" pivotButton="0" quotePrefix="0" xfId="0">
      <alignment horizontal="left" vertical="top" wrapText="1"/>
    </xf>
    <xf numFmtId="0" fontId="28" fillId="0" borderId="0" applyAlignment="1" pivotButton="0" quotePrefix="0" xfId="0">
      <alignment horizontal="left" vertical="top" wrapText="1"/>
    </xf>
    <xf numFmtId="0" fontId="29" fillId="0" borderId="2" applyAlignment="1" pivotButton="0" quotePrefix="0" xfId="0">
      <alignment horizontal="left" vertical="top" wrapText="1"/>
    </xf>
    <xf numFmtId="0" fontId="30" fillId="0" borderId="2" applyAlignment="1" pivotButton="0" quotePrefix="0" xfId="0">
      <alignment horizontal="left" vertical="top" wrapText="1"/>
    </xf>
    <xf numFmtId="0" fontId="20" fillId="9" borderId="0" applyAlignment="1" pivotButton="0" quotePrefix="0" xfId="0">
      <alignment horizontal="left" vertical="top" wrapText="1"/>
    </xf>
    <xf numFmtId="0" fontId="20" fillId="0" borderId="0" applyAlignment="1" pivotButton="0" quotePrefix="0" xfId="0">
      <alignment horizontal="left" vertical="top" wrapText="1"/>
    </xf>
    <xf numFmtId="0" fontId="20" fillId="0" borderId="0" applyAlignment="1" pivotButton="0" quotePrefix="0" xfId="0">
      <alignment horizontal="left" vertical="top" wrapText="1"/>
    </xf>
    <xf numFmtId="164" fontId="3" fillId="0" borderId="1" applyAlignment="1" pivotButton="0" quotePrefix="0" xfId="0">
      <alignment horizontal="center" vertical="center"/>
    </xf>
    <xf numFmtId="0" fontId="21" fillId="0" borderId="0" applyAlignment="1" pivotButton="0" quotePrefix="0" xfId="0">
      <alignment horizontal="left" vertical="top" wrapText="1"/>
    </xf>
    <xf numFmtId="0" fontId="3" fillId="0" borderId="1" applyAlignment="1" pivotButton="0" quotePrefix="0" xfId="0">
      <alignment horizontal="left" vertical="top" wrapText="1"/>
    </xf>
    <xf numFmtId="0" fontId="7" fillId="9" borderId="1" applyAlignment="1" pivotButton="0" quotePrefix="0" xfId="0">
      <alignment horizontal="left" vertical="top" wrapText="1"/>
    </xf>
    <xf numFmtId="0" fontId="3" fillId="0" borderId="2" applyAlignment="1" pivotButton="0" quotePrefix="0" xfId="0">
      <alignment horizontal="left" vertical="top"/>
    </xf>
    <xf numFmtId="0" fontId="4" fillId="0" borderId="1" applyAlignment="1" pivotButton="0" quotePrefix="0" xfId="0">
      <alignment wrapText="1"/>
    </xf>
    <xf numFmtId="0" fontId="24" fillId="0" borderId="0" applyAlignment="1" pivotButton="0" quotePrefix="0" xfId="0">
      <alignment vertical="bottom"/>
    </xf>
    <xf numFmtId="0" fontId="20" fillId="0" borderId="0" applyAlignment="1" pivotButton="0" quotePrefix="0" xfId="0">
      <alignment horizontal="left" vertical="top" wrapText="1"/>
    </xf>
    <xf numFmtId="0" fontId="28" fillId="0" borderId="0" applyAlignment="1" pivotButton="0" quotePrefix="0" xfId="0">
      <alignment horizontal="left" vertical="top"/>
    </xf>
    <xf numFmtId="0" fontId="3" fillId="0" borderId="1" applyAlignment="1" pivotButton="0" quotePrefix="0" xfId="0">
      <alignment horizontal="left" vertical="top" wrapText="1"/>
    </xf>
    <xf numFmtId="0" fontId="7" fillId="9" borderId="1" applyAlignment="1" pivotButton="0" quotePrefix="0" xfId="0">
      <alignment horizontal="left" vertical="top" wrapText="1"/>
    </xf>
    <xf numFmtId="0" fontId="20" fillId="0" borderId="15" applyAlignment="1" pivotButton="0" quotePrefix="0" xfId="0">
      <alignment horizontal="left" vertical="top" wrapText="1"/>
    </xf>
    <xf numFmtId="0" fontId="3" fillId="0" borderId="1" applyAlignment="1" pivotButton="0" quotePrefix="0" xfId="0">
      <alignment vertical="top" wrapText="1"/>
    </xf>
    <xf numFmtId="0" fontId="4" fillId="0" borderId="0" pivotButton="0" quotePrefix="0" xfId="0"/>
    <xf numFmtId="0" fontId="3" fillId="0" borderId="1" applyAlignment="1" pivotButton="0" quotePrefix="0" xfId="0">
      <alignment horizontal="left" vertical="top" wrapText="1"/>
    </xf>
    <xf numFmtId="0" fontId="3" fillId="0" borderId="1" pivotButton="0" quotePrefix="0" xfId="0"/>
    <xf numFmtId="0" fontId="3" fillId="0" borderId="3" applyAlignment="1" pivotButton="0" quotePrefix="0" xfId="0">
      <alignment horizontal="left" vertical="top" wrapText="1"/>
    </xf>
    <xf numFmtId="0" fontId="31" fillId="0" borderId="1" applyAlignment="1" pivotButton="0" quotePrefix="0" xfId="0">
      <alignment horizontal="left" vertical="top" wrapText="1"/>
    </xf>
    <xf numFmtId="0" fontId="24" fillId="0" borderId="0" applyAlignment="1" pivotButton="0" quotePrefix="0" xfId="0">
      <alignment vertical="bottom"/>
    </xf>
    <xf numFmtId="0" fontId="32" fillId="0" borderId="15" applyAlignment="1" pivotButton="0" quotePrefix="0" xfId="0">
      <alignment horizontal="left" vertical="top" wrapText="1"/>
    </xf>
    <xf numFmtId="0" fontId="33" fillId="0" borderId="0" applyAlignment="1" pivotButton="0" quotePrefix="0" xfId="0">
      <alignment horizontal="left" vertical="top"/>
    </xf>
    <xf numFmtId="0" fontId="3" fillId="0" borderId="1" applyAlignment="1" pivotButton="0" quotePrefix="0" xfId="0">
      <alignment vertical="top" wrapText="1"/>
    </xf>
    <xf numFmtId="0" fontId="34" fillId="0" borderId="1" applyAlignment="1" pivotButton="0" quotePrefix="0" xfId="0">
      <alignment vertical="top" wrapText="1"/>
    </xf>
    <xf numFmtId="0" fontId="3" fillId="0" borderId="1" applyAlignment="1" pivotButton="0" quotePrefix="0" xfId="0">
      <alignment horizontal="left" vertical="center" wrapText="1"/>
    </xf>
    <xf numFmtId="0" fontId="23" fillId="0" borderId="1" pivotButton="0" quotePrefix="0" xfId="0"/>
    <xf numFmtId="0" fontId="6" fillId="0" borderId="1" applyAlignment="1" pivotButton="0" quotePrefix="0" xfId="0">
      <alignment horizontal="left" vertical="center" wrapText="1"/>
    </xf>
    <xf numFmtId="0" fontId="35" fillId="0" borderId="0" applyAlignment="1" pivotButton="0" quotePrefix="0" xfId="0">
      <alignment vertical="center" wrapText="1"/>
    </xf>
    <xf numFmtId="0" fontId="36" fillId="0" borderId="0" applyAlignment="1" pivotButton="0" quotePrefix="0" xfId="0">
      <alignment vertical="center"/>
    </xf>
    <xf numFmtId="0" fontId="23" fillId="0" borderId="1" applyAlignment="1" pivotButton="0" quotePrefix="0" xfId="0">
      <alignmen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wrapText="1"/>
    </xf>
    <xf numFmtId="0" fontId="20" fillId="0" borderId="1" applyAlignment="1" pivotButton="0" quotePrefix="0" xfId="0">
      <alignment horizontal="left" vertical="top" wrapText="1"/>
    </xf>
    <xf numFmtId="0" fontId="4" fillId="0" borderId="0" applyAlignment="1" pivotButton="0" quotePrefix="0" xfId="0">
      <alignment vertical="center" wrapText="1"/>
    </xf>
    <xf numFmtId="0" fontId="3" fillId="0" borderId="1" applyAlignment="1" pivotButton="0" quotePrefix="0" xfId="0">
      <alignment vertical="center"/>
    </xf>
    <xf numFmtId="0" fontId="4" fillId="0" borderId="0" applyAlignment="1" pivotButton="0" quotePrefix="0" xfId="0">
      <alignment vertical="center"/>
    </xf>
    <xf numFmtId="0" fontId="1" fillId="2" borderId="1" applyAlignment="1" pivotButton="0" quotePrefix="0" xfId="0">
      <alignment wrapText="1"/>
    </xf>
    <xf numFmtId="0" fontId="3" fillId="0" borderId="1" applyAlignment="1" pivotButton="0" quotePrefix="0" xfId="0">
      <alignment wrapText="1"/>
    </xf>
    <xf numFmtId="0" fontId="37" fillId="2" borderId="1" applyAlignment="1" pivotButton="0" quotePrefix="0" xfId="0">
      <alignment wrapText="1"/>
    </xf>
    <xf numFmtId="0" fontId="38" fillId="0" borderId="0" pivotButton="0" quotePrefix="0" xfId="0"/>
    <xf numFmtId="0" fontId="28" fillId="0" borderId="0" applyAlignment="1" pivotButton="0" quotePrefix="0" xfId="0">
      <alignment wrapText="1"/>
    </xf>
    <xf numFmtId="0" fontId="28" fillId="0" borderId="0" pivotButton="0" quotePrefix="0" xfId="0"/>
    <xf numFmtId="0" fontId="6" fillId="0" borderId="2" applyAlignment="1" pivotButton="0" quotePrefix="0" xfId="0">
      <alignment vertical="center" wrapText="1"/>
    </xf>
    <xf numFmtId="0" fontId="3" fillId="18" borderId="2" applyAlignment="1" pivotButton="0" quotePrefix="0" xfId="0">
      <alignment vertical="top" wrapText="1"/>
    </xf>
    <xf numFmtId="0" fontId="28" fillId="0" borderId="0" pivotButton="0" quotePrefix="0" xfId="0"/>
    <xf numFmtId="0" fontId="3" fillId="0" borderId="1" applyAlignment="1" pivotButton="0" quotePrefix="0" xfId="0">
      <alignment vertical="center" wrapText="1"/>
    </xf>
    <xf numFmtId="0" fontId="39" fillId="0" borderId="2" applyAlignment="1" pivotButton="0" quotePrefix="0" xfId="0">
      <alignment horizontal="left" vertical="top" wrapText="1"/>
    </xf>
    <xf numFmtId="0" fontId="3" fillId="9" borderId="1" applyAlignment="1" pivotButton="0" quotePrefix="0" xfId="0">
      <alignment vertical="top" wrapText="1"/>
    </xf>
    <xf numFmtId="0" fontId="3" fillId="0" borderId="1" applyAlignment="1" pivotButton="0" quotePrefix="0" xfId="0">
      <alignment vertical="center"/>
    </xf>
    <xf numFmtId="0" fontId="3" fillId="0" borderId="1" applyAlignment="1" pivotButton="0" quotePrefix="0" xfId="0">
      <alignment horizontal="left" vertical="top"/>
    </xf>
    <xf numFmtId="0" fontId="3" fillId="0" borderId="1" applyAlignment="1" pivotButton="0" quotePrefix="0" xfId="0">
      <alignment wrapText="1"/>
    </xf>
    <xf numFmtId="0" fontId="1" fillId="2" borderId="1" applyAlignment="1" pivotButton="0" quotePrefix="0" xfId="0">
      <alignment wrapText="1"/>
    </xf>
    <xf numFmtId="0" fontId="21" fillId="9" borderId="0" applyAlignment="1" pivotButton="0" quotePrefix="0" xfId="0">
      <alignment vertical="top" wrapText="1"/>
    </xf>
    <xf numFmtId="0" fontId="40" fillId="0" borderId="1" applyAlignment="1" pivotButton="0" quotePrefix="0" xfId="0">
      <alignment vertical="center" wrapText="1"/>
    </xf>
    <xf numFmtId="0" fontId="7" fillId="0" borderId="1" pivotButton="0" quotePrefix="0" xfId="0"/>
    <xf numFmtId="0" fontId="7" fillId="0" borderId="1" applyAlignment="1" pivotButton="0" quotePrefix="0" xfId="0">
      <alignment vertical="bottom" wrapText="1"/>
    </xf>
    <xf numFmtId="0" fontId="41" fillId="0" borderId="10" applyAlignment="1" pivotButton="0" quotePrefix="0" xfId="0">
      <alignment vertical="center"/>
    </xf>
    <xf numFmtId="0" fontId="0" fillId="9" borderId="0" applyAlignment="1" pivotButton="0" quotePrefix="0" xfId="0">
      <alignment horizontal="left" wrapText="1"/>
    </xf>
    <xf numFmtId="0" fontId="41" fillId="0" borderId="8" applyAlignment="1" pivotButton="0" quotePrefix="0" xfId="0">
      <alignment vertical="center"/>
    </xf>
    <xf numFmtId="0" fontId="23" fillId="0" borderId="1" applyAlignment="1" pivotButton="0" quotePrefix="0" xfId="0">
      <alignment vertical="bottom"/>
    </xf>
    <xf numFmtId="0" fontId="3" fillId="0" borderId="1" applyAlignment="1" pivotButton="0" quotePrefix="0" xfId="0">
      <alignment vertical="bottom" wrapText="1"/>
    </xf>
    <xf numFmtId="0" fontId="4" fillId="0" borderId="8" applyAlignment="1" pivotButton="0" quotePrefix="0" xfId="0">
      <alignment vertical="center"/>
    </xf>
    <xf numFmtId="0" fontId="3" fillId="0" borderId="1" applyAlignment="1" pivotButton="0" quotePrefix="0" xfId="0">
      <alignment horizontal="left" vertical="top" wrapText="1"/>
    </xf>
    <xf numFmtId="0" fontId="3" fillId="0" borderId="1" applyAlignment="1" pivotButton="0" quotePrefix="0" xfId="0">
      <alignment vertical="bottom" wrapText="1"/>
    </xf>
    <xf numFmtId="0" fontId="4" fillId="0" borderId="11" applyAlignment="1" pivotButton="0" quotePrefix="0" xfId="0">
      <alignment vertical="center"/>
    </xf>
    <xf numFmtId="0" fontId="3" fillId="0" borderId="1" applyAlignment="1" pivotButton="0" quotePrefix="0" xfId="0">
      <alignment horizontal="left" vertical="top"/>
    </xf>
    <xf numFmtId="0" fontId="4" fillId="0" borderId="0" applyAlignment="1" pivotButton="0" quotePrefix="0" xfId="0">
      <alignment wrapText="1"/>
    </xf>
    <xf numFmtId="0" fontId="3" fillId="0" borderId="1" applyAlignment="1" pivotButton="0" quotePrefix="0" xfId="0">
      <alignment vertical="bottom" wrapText="1"/>
    </xf>
    <xf numFmtId="0" fontId="1" fillId="2" borderId="1" applyAlignment="1" pivotButton="0" quotePrefix="0" xfId="0">
      <alignment wrapText="1"/>
    </xf>
    <xf numFmtId="0" fontId="1" fillId="2" borderId="1" applyAlignment="1" pivotButton="0" quotePrefix="0" xfId="0">
      <alignment wrapText="1"/>
    </xf>
    <xf numFmtId="0" fontId="3" fillId="0" borderId="1" pivotButton="0" quotePrefix="0" xfId="0"/>
    <xf numFmtId="0" fontId="1" fillId="2" borderId="1" applyAlignment="1" pivotButton="0" quotePrefix="0" xfId="0">
      <alignment horizontal="left" vertical="center"/>
    </xf>
    <xf numFmtId="0" fontId="4" fillId="0" borderId="1" applyAlignment="1" pivotButton="0" quotePrefix="0" xfId="0">
      <alignment vertical="center"/>
    </xf>
    <xf numFmtId="0" fontId="4" fillId="0" borderId="1" applyAlignment="1" pivotButton="0" quotePrefix="0" xfId="0">
      <alignment vertical="center"/>
    </xf>
    <xf numFmtId="0" fontId="3" fillId="0" borderId="1" applyAlignment="1" pivotButton="0" quotePrefix="0" xfId="0">
      <alignment horizontal="left" vertical="center"/>
    </xf>
    <xf numFmtId="0" fontId="7" fillId="9" borderId="1" applyAlignment="1" pivotButton="0" quotePrefix="0" xfId="0">
      <alignment vertical="bottom"/>
    </xf>
    <xf numFmtId="0" fontId="3" fillId="9" borderId="1" applyAlignment="1" pivotButton="0" quotePrefix="0" xfId="0">
      <alignment vertical="bottom" wrapText="1"/>
    </xf>
    <xf numFmtId="0" fontId="7" fillId="0" borderId="1" applyAlignment="1" pivotButton="0" quotePrefix="0" xfId="0">
      <alignment vertical="bottom"/>
    </xf>
    <xf numFmtId="0" fontId="42" fillId="2" borderId="1" applyAlignment="1" pivotButton="0" quotePrefix="0" xfId="0">
      <alignment horizontal="left" vertical="top" wrapText="1"/>
    </xf>
    <xf numFmtId="0" fontId="1" fillId="2" borderId="1" applyAlignment="1" pivotButton="0" quotePrefix="0" xfId="0">
      <alignment vertical="center" wrapText="1"/>
    </xf>
    <xf numFmtId="0" fontId="41" fillId="0" borderId="12" applyAlignment="1" pivotButton="0" quotePrefix="0" xfId="0">
      <alignment horizontal="left" vertical="top" wrapText="1"/>
    </xf>
    <xf numFmtId="0" fontId="42" fillId="2" borderId="13" applyAlignment="1" pivotButton="0" quotePrefix="0" xfId="0">
      <alignment horizontal="left" vertical="top" wrapText="1"/>
    </xf>
    <xf numFmtId="0" fontId="3" fillId="0" borderId="2" applyAlignment="1" pivotButton="0" quotePrefix="0" xfId="0">
      <alignment vertical="center" wrapText="1"/>
    </xf>
    <xf numFmtId="0" fontId="41" fillId="0" borderId="8" applyAlignment="1" pivotButton="0" quotePrefix="0" xfId="0">
      <alignment horizontal="left" vertical="top"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43" fillId="0" borderId="1" applyAlignment="1" pivotButton="0" quotePrefix="0" xfId="0">
      <alignment horizontal="center" vertical="center"/>
    </xf>
    <xf numFmtId="0" fontId="41" fillId="0" borderId="8" applyAlignment="1" pivotButton="0" quotePrefix="0" xfId="0">
      <alignment horizontal="left" vertical="top" wrapText="1"/>
    </xf>
    <xf numFmtId="0" fontId="3" fillId="0" borderId="2" applyAlignment="1" pivotButton="0" quotePrefix="0" xfId="0">
      <alignment vertical="center" wrapText="1"/>
    </xf>
    <xf numFmtId="0" fontId="3" fillId="0" borderId="12" applyAlignment="1" pivotButton="0" quotePrefix="0" xfId="0">
      <alignment horizontal="left" vertical="center" wrapText="1"/>
    </xf>
    <xf numFmtId="0" fontId="23" fillId="0" borderId="0" applyAlignment="1" pivotButton="0" quotePrefix="0" xfId="0">
      <alignment vertical="center"/>
    </xf>
    <xf numFmtId="0" fontId="42" fillId="2" borderId="13" applyAlignment="1" pivotButton="0" quotePrefix="0" xfId="0">
      <alignment horizontal="left" vertical="center" wrapText="1"/>
    </xf>
    <xf numFmtId="0" fontId="42" fillId="2" borderId="11" applyAlignment="1" pivotButton="0" quotePrefix="0" xfId="0">
      <alignment horizontal="left" vertical="center" wrapText="1"/>
    </xf>
    <xf numFmtId="0" fontId="1" fillId="2" borderId="13" applyAlignment="1" pivotButton="0" quotePrefix="0" xfId="0">
      <alignment horizontal="left" vertical="center" wrapText="1"/>
    </xf>
    <xf numFmtId="0" fontId="42" fillId="2" borderId="11" applyAlignment="1" pivotButton="0" quotePrefix="0" xfId="0">
      <alignment horizontal="left" vertical="center" wrapText="1"/>
    </xf>
    <xf numFmtId="0" fontId="3" fillId="0" borderId="8" applyAlignment="1" pivotButton="0" quotePrefix="0" xfId="0">
      <alignment horizontal="left" vertical="center" wrapText="1"/>
    </xf>
    <xf numFmtId="0" fontId="41" fillId="0" borderId="1" applyAlignment="1" pivotButton="0" quotePrefix="0" xfId="0">
      <alignment vertical="center"/>
    </xf>
    <xf numFmtId="0" fontId="41" fillId="0" borderId="1" applyAlignment="1" pivotButton="0" quotePrefix="0" xfId="0">
      <alignment horizontal="left" vertical="center" wrapText="1"/>
    </xf>
    <xf numFmtId="0" fontId="24" fillId="0" borderId="1" applyAlignment="1" pivotButton="0" quotePrefix="0" xfId="0">
      <alignment vertical="center"/>
    </xf>
    <xf numFmtId="0" fontId="44" fillId="0" borderId="2" applyAlignment="1" pivotButton="0" quotePrefix="0" xfId="0">
      <alignment vertical="center" wrapText="1"/>
    </xf>
    <xf numFmtId="0" fontId="41" fillId="0" borderId="1" applyAlignment="1" pivotButton="0" quotePrefix="0" xfId="0">
      <alignment vertical="center" wrapText="1"/>
    </xf>
    <xf numFmtId="0" fontId="45" fillId="0" borderId="8" applyAlignment="1" pivotButton="0" quotePrefix="0" xfId="0">
      <alignment horizontal="left" vertical="center" wrapText="1"/>
    </xf>
    <xf numFmtId="0" fontId="41" fillId="0" borderId="1" applyAlignment="1" pivotButton="0" quotePrefix="0" xfId="0">
      <alignment vertical="center" wrapText="1"/>
    </xf>
    <xf numFmtId="0" fontId="1" fillId="2" borderId="1" applyAlignment="1" pivotButton="0" quotePrefix="0" xfId="0">
      <alignment vertical="center" wrapText="1"/>
    </xf>
    <xf numFmtId="0" fontId="46" fillId="2" borderId="13" applyAlignment="1" pivotButton="0" quotePrefix="0" xfId="0">
      <alignment horizontal="left" vertical="center" wrapText="1"/>
    </xf>
    <xf numFmtId="0" fontId="46" fillId="2" borderId="11" applyAlignment="1" pivotButton="0" quotePrefix="0" xfId="0">
      <alignment horizontal="left" vertical="center" wrapText="1"/>
    </xf>
    <xf numFmtId="0" fontId="3" fillId="0" borderId="2" applyAlignment="1" pivotButton="0" quotePrefix="0" xfId="0">
      <alignment horizontal="left" vertical="center"/>
    </xf>
    <xf numFmtId="0" fontId="1" fillId="2" borderId="11" applyAlignment="1" pivotButton="0" quotePrefix="0" xfId="0">
      <alignment horizontal="left" vertical="center" wrapText="1"/>
    </xf>
    <xf numFmtId="0" fontId="47" fillId="0" borderId="1" applyAlignment="1" pivotButton="0" quotePrefix="0" xfId="0">
      <alignment vertical="center" wrapText="1"/>
    </xf>
    <xf numFmtId="0" fontId="1" fillId="2" borderId="1" applyAlignment="1" pivotButton="0" quotePrefix="0" xfId="0">
      <alignment vertical="center" wrapText="1"/>
    </xf>
    <xf numFmtId="0" fontId="1" fillId="2" borderId="1" applyAlignment="1" pivotButton="0" quotePrefix="0" xfId="0">
      <alignment vertical="center" wrapText="1"/>
    </xf>
    <xf numFmtId="0" fontId="1" fillId="2" borderId="0" applyAlignment="1" pivotButton="0" quotePrefix="0" xfId="0">
      <alignment vertical="center" wrapText="1"/>
    </xf>
    <xf numFmtId="0" fontId="1" fillId="2" borderId="8" applyAlignment="1" pivotButton="0" quotePrefix="0" xfId="0">
      <alignment horizontal="left" vertical="center" wrapText="1"/>
    </xf>
    <xf numFmtId="0" fontId="1" fillId="2" borderId="8" applyAlignment="1" pivotButton="0" quotePrefix="0" xfId="0">
      <alignment horizontal="left" vertical="center" wrapText="1"/>
    </xf>
    <xf numFmtId="0" fontId="3" fillId="0" borderId="1" applyAlignment="1" pivotButton="0" quotePrefix="0" xfId="0">
      <alignment vertical="center" wrapText="1"/>
    </xf>
    <xf numFmtId="0" fontId="41" fillId="0" borderId="1" applyAlignment="1" pivotButton="0" quotePrefix="0" xfId="0">
      <alignment horizontal="right" vertical="center"/>
    </xf>
    <xf numFmtId="0" fontId="3" fillId="0" borderId="13" applyAlignment="1" pivotButton="0" quotePrefix="0" xfId="0">
      <alignment vertical="center"/>
    </xf>
    <xf numFmtId="0" fontId="3" fillId="0" borderId="3" applyAlignment="1" pivotButton="0" quotePrefix="0" xfId="0">
      <alignment vertical="center" wrapText="1"/>
    </xf>
    <xf numFmtId="0" fontId="3" fillId="0" borderId="11" applyAlignment="1" pivotButton="0" quotePrefix="0" xfId="0">
      <alignment vertical="center"/>
    </xf>
    <xf numFmtId="0" fontId="3" fillId="0" borderId="11" applyAlignment="1" pivotButton="0" quotePrefix="0" xfId="0">
      <alignment vertical="center" wrapText="1"/>
    </xf>
    <xf numFmtId="0" fontId="3" fillId="0" borderId="3" applyAlignment="1" pivotButton="0" quotePrefix="0" xfId="0">
      <alignment vertical="center" wrapText="1"/>
    </xf>
    <xf numFmtId="0" fontId="3" fillId="0" borderId="11" applyAlignment="1" pivotButton="0" quotePrefix="0" xfId="0">
      <alignment vertical="center" wrapText="1"/>
    </xf>
    <xf numFmtId="0" fontId="3" fillId="0" borderId="3" applyAlignment="1" pivotButton="0" quotePrefix="0" xfId="0">
      <alignment vertical="center"/>
    </xf>
    <xf numFmtId="0" fontId="3" fillId="0" borderId="13" applyAlignment="1" pivotButton="0" quotePrefix="0" xfId="0">
      <alignment vertical="center" wrapText="1"/>
    </xf>
    <xf numFmtId="0" fontId="3" fillId="9" borderId="11" applyAlignment="1" pivotButton="0" quotePrefix="0" xfId="0">
      <alignment vertical="center" wrapText="1"/>
    </xf>
    <xf numFmtId="0" fontId="48" fillId="19" borderId="0" applyAlignment="1" pivotButton="0" quotePrefix="0" xfId="0">
      <alignment vertical="center"/>
    </xf>
    <xf numFmtId="0" fontId="41" fillId="19" borderId="0" applyAlignment="1" pivotButton="0" quotePrefix="0" xfId="0">
      <alignment vertical="center"/>
    </xf>
    <xf numFmtId="0" fontId="41" fillId="19" borderId="0" applyAlignment="1" pivotButton="0" quotePrefix="0" xfId="0">
      <alignment vertical="center" wrapText="1"/>
    </xf>
    <xf numFmtId="0" fontId="41" fillId="19" borderId="0" applyAlignment="1" pivotButton="0" quotePrefix="0" xfId="0">
      <alignment vertical="center" wrapText="1"/>
    </xf>
    <xf numFmtId="0" fontId="41" fillId="0" borderId="1" applyAlignment="1" pivotButton="0" quotePrefix="0" xfId="0">
      <alignment vertical="center"/>
    </xf>
    <xf numFmtId="0" fontId="1" fillId="13" borderId="1" applyAlignment="1" pivotButton="0" quotePrefix="0" xfId="0">
      <alignment horizontal="center" vertical="center" wrapText="1"/>
    </xf>
    <xf numFmtId="0" fontId="49" fillId="0" borderId="1" applyAlignment="1" pivotButton="0" quotePrefix="0" xfId="0">
      <alignment vertical="center" wrapText="1"/>
    </xf>
    <xf numFmtId="0" fontId="3" fillId="0" borderId="12" applyAlignment="1" pivotButton="0" quotePrefix="0" xfId="0">
      <alignment vertical="center" wrapText="1"/>
    </xf>
    <xf numFmtId="0" fontId="50" fillId="20" borderId="2" applyAlignment="1" pivotButton="0" quotePrefix="0" xfId="0">
      <alignment vertical="bottom"/>
    </xf>
    <xf numFmtId="0" fontId="41" fillId="0" borderId="0" applyAlignment="1" pivotButton="0" quotePrefix="0" xfId="0">
      <alignment vertical="center" wrapText="1"/>
    </xf>
    <xf numFmtId="0" fontId="41" fillId="0" borderId="0" applyAlignment="1" pivotButton="0" quotePrefix="0" xfId="0">
      <alignment vertical="center" wrapText="1"/>
    </xf>
    <xf numFmtId="0" fontId="51" fillId="21" borderId="1" applyAlignment="1" pivotButton="0" quotePrefix="0" xfId="0">
      <alignment vertical="bottom"/>
    </xf>
    <xf numFmtId="0" fontId="3" fillId="0" borderId="11" applyAlignment="1" pivotButton="0" quotePrefix="0" xfId="0">
      <alignment vertical="center" wrapText="1"/>
    </xf>
    <xf numFmtId="0" fontId="1" fillId="2" borderId="13" applyAlignment="1" pivotButton="0" quotePrefix="0" xfId="0">
      <alignment vertical="center" wrapText="1"/>
    </xf>
    <xf numFmtId="0" fontId="51" fillId="21" borderId="2" applyAlignment="1" pivotButton="0" quotePrefix="0" xfId="0">
      <alignment vertical="bottom"/>
    </xf>
    <xf numFmtId="0" fontId="3" fillId="0" borderId="8" applyAlignment="1" pivotButton="0" quotePrefix="0" xfId="0">
      <alignment vertical="center" wrapText="1"/>
    </xf>
    <xf numFmtId="0" fontId="51" fillId="21" borderId="0" applyAlignment="1" pivotButton="0" quotePrefix="0" xfId="0">
      <alignment vertical="bottom"/>
    </xf>
    <xf numFmtId="0" fontId="37" fillId="2" borderId="2" applyAlignment="1" pivotButton="0" quotePrefix="0" xfId="0">
      <alignment vertical="center" wrapText="1"/>
    </xf>
    <xf numFmtId="0" fontId="52" fillId="0" borderId="1" applyAlignment="1" pivotButton="0" quotePrefix="0" xfId="0">
      <alignment vertical="bottom"/>
    </xf>
    <xf numFmtId="0" fontId="3" fillId="18" borderId="2" applyAlignment="1" pivotButton="0" quotePrefix="0" xfId="0">
      <alignment vertical="center" wrapText="1"/>
    </xf>
    <xf numFmtId="0" fontId="53" fillId="0" borderId="8" applyAlignment="1" pivotButton="0" quotePrefix="0" xfId="0">
      <alignment vertical="center" wrapText="1"/>
    </xf>
    <xf numFmtId="0" fontId="3" fillId="0" borderId="8" applyAlignment="1" pivotButton="0" quotePrefix="0" xfId="0">
      <alignment vertical="center" wrapText="1"/>
    </xf>
    <xf numFmtId="0" fontId="41" fillId="9" borderId="8" applyAlignment="1" pivotButton="0" quotePrefix="0" xfId="0">
      <alignment vertical="center" wrapText="1"/>
    </xf>
    <xf numFmtId="0" fontId="41" fillId="0" borderId="8" applyAlignment="1" pivotButton="0" quotePrefix="0" xfId="0">
      <alignment vertical="center" wrapText="1"/>
    </xf>
    <xf numFmtId="0" fontId="1" fillId="2" borderId="11" applyAlignment="1" pivotButton="0" quotePrefix="0" xfId="0">
      <alignment vertical="center" wrapText="1"/>
    </xf>
    <xf numFmtId="0" fontId="54" fillId="0" borderId="2" applyAlignment="1" pivotButton="0" quotePrefix="0" xfId="0">
      <alignment vertical="center" wrapText="1"/>
    </xf>
    <xf numFmtId="0" fontId="1" fillId="2" borderId="11" applyAlignment="1" pivotButton="0" quotePrefix="0" xfId="0">
      <alignment horizontal="center" vertical="center" wrapText="1"/>
    </xf>
    <xf numFmtId="0" fontId="1" fillId="2" borderId="11" applyAlignment="1" pivotButton="0" quotePrefix="0" xfId="0">
      <alignment vertical="center" wrapText="1"/>
    </xf>
    <xf numFmtId="0" fontId="3" fillId="0" borderId="13" applyAlignment="1" pivotButton="0" quotePrefix="0" xfId="0">
      <alignment vertical="center" wrapText="1"/>
    </xf>
    <xf numFmtId="0" fontId="3" fillId="0" borderId="2" applyAlignment="1" pivotButton="0" quotePrefix="0" xfId="0">
      <alignment vertical="center" wrapText="1"/>
    </xf>
    <xf numFmtId="0" fontId="55" fillId="0" borderId="1" applyAlignment="1" pivotButton="0" quotePrefix="0" xfId="0">
      <alignment vertical="bottom" wrapText="1"/>
    </xf>
    <xf numFmtId="0" fontId="7" fillId="9" borderId="1" applyAlignment="1" pivotButton="0" quotePrefix="0" xfId="0">
      <alignment horizontal="left" vertical="center" wrapText="1"/>
    </xf>
    <xf numFmtId="0" fontId="7" fillId="0" borderId="11" applyAlignment="1" pivotButton="0" quotePrefix="0" xfId="0">
      <alignment vertical="center"/>
    </xf>
    <xf numFmtId="0" fontId="56" fillId="9" borderId="1" applyAlignment="1" pivotButton="0" quotePrefix="0" xfId="0">
      <alignment vertical="bottom"/>
    </xf>
    <xf numFmtId="0" fontId="7" fillId="0" borderId="1" applyAlignment="1" pivotButton="0" quotePrefix="0" xfId="0">
      <alignment vertical="center" wrapText="1"/>
    </xf>
    <xf numFmtId="0" fontId="7" fillId="0" borderId="1" applyAlignment="1" pivotButton="0" quotePrefix="0" xfId="0">
      <alignment vertical="center"/>
    </xf>
    <xf numFmtId="0" fontId="7" fillId="0" borderId="0" applyAlignment="1" pivotButton="0" quotePrefix="0" xfId="0">
      <alignment vertical="center"/>
    </xf>
    <xf numFmtId="0" fontId="3" fillId="0" borderId="2" applyAlignment="1" pivotButton="0" quotePrefix="0" xfId="0">
      <alignment horizontal="left" vertical="top" wrapText="1"/>
    </xf>
    <xf numFmtId="0" fontId="28" fillId="0" borderId="0" applyAlignment="1" pivotButton="0" quotePrefix="0" xfId="0">
      <alignment vertical="top" wrapText="1"/>
    </xf>
    <xf numFmtId="0" fontId="28" fillId="0" borderId="0" applyAlignment="1" pivotButton="0" quotePrefix="0" xfId="0">
      <alignment vertical="top" wrapText="1"/>
    </xf>
    <xf numFmtId="0" fontId="7" fillId="0" borderId="1" applyAlignment="1" pivotButton="0" quotePrefix="0" xfId="0">
      <alignment vertical="center"/>
    </xf>
    <xf numFmtId="0" fontId="57" fillId="0" borderId="2" applyAlignment="1" pivotButton="0" quotePrefix="0" xfId="0">
      <alignment horizontal="left" vertical="top" wrapText="1"/>
    </xf>
    <xf numFmtId="0" fontId="47" fillId="2" borderId="1" applyAlignment="1" pivotButton="0" quotePrefix="0" xfId="0">
      <alignment horizontal="left" vertical="top" wrapText="1"/>
    </xf>
    <xf numFmtId="0" fontId="0" fillId="0" borderId="2" applyAlignment="1" pivotButton="0" quotePrefix="0" xfId="0">
      <alignment vertical="bottom" wrapText="1"/>
    </xf>
    <xf numFmtId="0" fontId="0" fillId="0" borderId="0" applyAlignment="1" pivotButton="0" quotePrefix="0" xfId="0">
      <alignment vertical="bottom" wrapText="1"/>
    </xf>
    <xf numFmtId="0" fontId="1" fillId="2" borderId="11" applyAlignment="1" pivotButton="0" quotePrefix="0" xfId="0">
      <alignment vertical="bottom" wrapText="1"/>
    </xf>
    <xf numFmtId="0" fontId="38" fillId="0" borderId="0" applyAlignment="1" pivotButton="0" quotePrefix="0" xfId="0">
      <alignment vertical="top" wrapText="1"/>
    </xf>
    <xf numFmtId="0" fontId="3" fillId="0" borderId="2" applyAlignment="1" pivotButton="0" quotePrefix="0" xfId="0">
      <alignment wrapText="1"/>
    </xf>
    <xf numFmtId="0" fontId="7" fillId="0" borderId="1" applyAlignment="1" pivotButton="0" quotePrefix="0" xfId="0">
      <alignment vertical="top" wrapText="1"/>
    </xf>
    <xf numFmtId="0" fontId="7" fillId="0" borderId="1" applyAlignment="1" pivotButton="0" quotePrefix="0" xfId="0">
      <alignment vertical="top" wrapText="1"/>
    </xf>
    <xf numFmtId="0" fontId="0" fillId="0" borderId="0" applyAlignment="1" pivotButton="0" quotePrefix="0" xfId="0">
      <alignment wrapText="1"/>
    </xf>
    <xf numFmtId="0" fontId="4" fillId="0" borderId="1" pivotButton="0" quotePrefix="0" xfId="0"/>
    <xf numFmtId="0" fontId="3" fillId="0" borderId="1" applyAlignment="1" pivotButton="0" quotePrefix="0" xfId="0">
      <alignment vertical="top" wrapText="1"/>
    </xf>
    <xf numFmtId="0" fontId="0" fillId="0" borderId="0" applyAlignment="1" pivotButton="0" quotePrefix="0" xfId="0">
      <alignment wrapText="1"/>
    </xf>
    <xf numFmtId="0" fontId="41" fillId="0" borderId="0" applyAlignment="1" pivotButton="0" quotePrefix="0" xfId="0">
      <alignment vertical="top" wrapText="1"/>
    </xf>
    <xf numFmtId="0" fontId="7" fillId="0" borderId="0" applyAlignment="1" pivotButton="0" quotePrefix="0" xfId="0">
      <alignment vertical="center"/>
    </xf>
    <xf numFmtId="0" fontId="58" fillId="0" borderId="2" applyAlignment="1" pivotButton="0" quotePrefix="0" xfId="0">
      <alignment wrapText="1"/>
    </xf>
    <xf numFmtId="0" fontId="3" fillId="0" borderId="0" applyAlignment="1" pivotButton="0" quotePrefix="0" xfId="0">
      <alignment vertical="center" wrapText="1"/>
    </xf>
    <xf numFmtId="0" fontId="8" fillId="19" borderId="0" applyAlignment="1" pivotButton="0" quotePrefix="0" xfId="0">
      <alignment vertical="center"/>
    </xf>
    <xf numFmtId="0" fontId="59" fillId="0" borderId="2" applyAlignment="1" pivotButton="0" quotePrefix="0" xfId="0">
      <alignment wrapText="1"/>
    </xf>
    <xf numFmtId="0" fontId="20" fillId="0" borderId="0" applyAlignment="1" pivotButton="0" quotePrefix="0" xfId="0">
      <alignment horizontal="center" vertical="center" wrapText="1"/>
    </xf>
    <xf numFmtId="0" fontId="3" fillId="0" borderId="2" applyAlignment="1" pivotButton="0" quotePrefix="0" xfId="0">
      <alignment horizontal="left" wrapText="1"/>
    </xf>
    <xf numFmtId="0" fontId="3" fillId="0" borderId="2" applyAlignment="1" pivotButton="0" quotePrefix="0" xfId="0">
      <alignment vertical="center" wrapText="1"/>
    </xf>
    <xf numFmtId="0" fontId="3" fillId="0" borderId="2" applyAlignment="1" pivotButton="0" quotePrefix="0" xfId="0">
      <alignment horizontal="left" vertical="top"/>
    </xf>
    <xf numFmtId="0" fontId="20" fillId="0" borderId="0" applyAlignment="1" pivotButton="0" quotePrefix="0" xfId="0">
      <alignment horizontal="center" vertical="center" wrapText="1"/>
    </xf>
    <xf numFmtId="0" fontId="20" fillId="0" borderId="0" applyAlignment="1" pivotButton="0" quotePrefix="0" xfId="0">
      <alignment vertical="center" wrapText="1"/>
    </xf>
    <xf numFmtId="0" fontId="20" fillId="0" borderId="0" applyAlignment="1" pivotButton="0" quotePrefix="0" xfId="0">
      <alignment wrapText="1"/>
    </xf>
    <xf numFmtId="0" fontId="60" fillId="0" borderId="1" applyAlignment="1" pivotButton="0" quotePrefix="0" xfId="0">
      <alignment vertical="center"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0" borderId="1" applyAlignment="1" pivotButton="0" quotePrefix="0" xfId="0">
      <alignment wrapText="1"/>
    </xf>
    <xf numFmtId="0" fontId="61" fillId="0" borderId="1" applyAlignment="1" pivotButton="0" quotePrefix="0" xfId="0">
      <alignment vertical="bottom" wrapText="1"/>
    </xf>
    <xf numFmtId="0" fontId="62" fillId="0" borderId="2" applyAlignment="1" pivotButton="0" quotePrefix="0" xfId="0">
      <alignment vertical="center" wrapText="1"/>
    </xf>
    <xf numFmtId="0" fontId="21" fillId="0" borderId="6" applyAlignment="1" pivotButton="0" quotePrefix="0" xfId="0">
      <alignment vertical="center" wrapText="1"/>
    </xf>
    <xf numFmtId="0" fontId="20" fillId="0" borderId="6" applyAlignment="1" pivotButton="0" quotePrefix="0" xfId="0">
      <alignment horizontal="left" vertical="center" wrapText="1"/>
    </xf>
    <xf numFmtId="0" fontId="3" fillId="0" borderId="1" applyAlignment="1" pivotButton="0" quotePrefix="0" xfId="0">
      <alignment horizontal="center" vertical="top" wrapText="1"/>
    </xf>
    <xf numFmtId="0" fontId="20" fillId="0" borderId="8" applyAlignment="1" pivotButton="0" quotePrefix="0" xfId="0">
      <alignment vertical="center" wrapText="1"/>
    </xf>
    <xf numFmtId="0" fontId="20" fillId="0" borderId="8" applyAlignment="1" pivotButton="0" quotePrefix="0" xfId="0">
      <alignment horizontal="center" vertical="center" wrapText="1"/>
    </xf>
    <xf numFmtId="0" fontId="21" fillId="0" borderId="0" applyAlignment="1" pivotButton="0" quotePrefix="0" xfId="0">
      <alignment vertical="center" wrapText="1"/>
    </xf>
    <xf numFmtId="0" fontId="7" fillId="0" borderId="1" applyAlignment="1" pivotButton="0" quotePrefix="0" xfId="0">
      <alignment wrapText="1"/>
    </xf>
    <xf numFmtId="0" fontId="3" fillId="0" borderId="1" applyAlignment="1" pivotButton="0" quotePrefix="0" xfId="0">
      <alignment horizontal="left" vertical="bottom" wrapText="1"/>
    </xf>
    <xf numFmtId="0" fontId="23" fillId="0" borderId="1" applyAlignment="1" pivotButton="0" quotePrefix="0" xfId="0">
      <alignment vertical="bottom" wrapText="1"/>
    </xf>
    <xf numFmtId="0" fontId="23" fillId="0" borderId="1" applyAlignment="1" pivotButton="0" quotePrefix="0" xfId="0">
      <alignment vertical="bottom" wrapText="1"/>
    </xf>
    <xf numFmtId="0" fontId="23" fillId="0" borderId="1" applyAlignment="1" pivotButton="0" quotePrefix="0" xfId="0">
      <alignment vertical="bottom" wrapText="1"/>
    </xf>
    <xf numFmtId="0" fontId="8" fillId="19" borderId="1" applyAlignment="1" pivotButton="0" quotePrefix="0" xfId="0">
      <alignment vertical="center"/>
    </xf>
    <xf numFmtId="0" fontId="3" fillId="19" borderId="1" applyAlignment="1" pivotButton="0" quotePrefix="0" xfId="0">
      <alignment wrapText="1"/>
    </xf>
    <xf numFmtId="0" fontId="3" fillId="19" borderId="1" applyAlignment="1" pivotButton="0" quotePrefix="0" xfId="0">
      <alignment vertical="center" wrapText="1"/>
    </xf>
    <xf numFmtId="0" fontId="63" fillId="0" borderId="1" applyAlignment="1" pivotButton="0" quotePrefix="0" xfId="0">
      <alignment vertical="top" wrapText="1"/>
    </xf>
    <xf numFmtId="0" fontId="64" fillId="0" borderId="2" applyAlignment="1" pivotButton="0" quotePrefix="0" xfId="0">
      <alignment vertical="center" wrapText="1"/>
    </xf>
    <xf numFmtId="0" fontId="65" fillId="10" borderId="2" applyAlignment="1" pivotButton="0" quotePrefix="0" xfId="0">
      <alignment horizontal="left" vertical="center" wrapText="1"/>
    </xf>
    <xf numFmtId="0" fontId="8" fillId="10" borderId="0" applyAlignment="1" pivotButton="0" quotePrefix="0" xfId="0">
      <alignment vertical="center"/>
    </xf>
    <xf numFmtId="0" fontId="20" fillId="9" borderId="16" applyAlignment="1" pivotButton="0" quotePrefix="0" xfId="0">
      <alignment vertical="center" wrapText="1"/>
    </xf>
    <xf numFmtId="0" fontId="3" fillId="0" borderId="1" applyAlignment="1" pivotButton="0" quotePrefix="0" xfId="0">
      <alignment vertical="center" wrapText="1"/>
    </xf>
    <xf numFmtId="0" fontId="66" fillId="0" borderId="1" applyAlignment="1" pivotButton="0" quotePrefix="0" xfId="0">
      <alignment vertical="center" wrapText="1"/>
    </xf>
    <xf numFmtId="0" fontId="23" fillId="0" borderId="1" applyAlignment="1" pivotButton="0" quotePrefix="0" xfId="0">
      <alignment vertical="center" wrapText="1"/>
    </xf>
    <xf numFmtId="0" fontId="23" fillId="0" borderId="1" applyAlignment="1" pivotButton="0" quotePrefix="0" xfId="0">
      <alignment vertical="bottom" wrapText="1"/>
    </xf>
    <xf numFmtId="0" fontId="23" fillId="0" borderId="1" applyAlignment="1" pivotButton="0" quotePrefix="0" xfId="0">
      <alignment vertical="center" wrapText="1"/>
    </xf>
    <xf numFmtId="0" fontId="23" fillId="0" borderId="1" applyAlignment="1" pivotButton="0" quotePrefix="0" xfId="0">
      <alignment vertical="bottom"/>
    </xf>
    <xf numFmtId="0" fontId="8" fillId="9" borderId="8" applyAlignment="1" pivotButton="0" quotePrefix="0" xfId="0">
      <alignment horizontal="left" vertical="center" wrapText="1"/>
    </xf>
    <xf numFmtId="0" fontId="3" fillId="0" borderId="8" applyAlignment="1" pivotButton="0" quotePrefix="0" xfId="0">
      <alignment vertical="center" wrapText="1"/>
    </xf>
    <xf numFmtId="0" fontId="3" fillId="9" borderId="8" applyAlignment="1" pivotButton="0" quotePrefix="0" xfId="0">
      <alignment vertical="center" wrapText="1"/>
    </xf>
    <xf numFmtId="0" fontId="7" fillId="0" borderId="1" applyAlignment="1" pivotButton="0" quotePrefix="0" xfId="0">
      <alignment vertical="center" wrapText="1"/>
    </xf>
    <xf numFmtId="0" fontId="7" fillId="9" borderId="1" applyAlignment="1" pivotButton="0" quotePrefix="0" xfId="0">
      <alignment vertical="center" wrapText="1"/>
    </xf>
    <xf numFmtId="0" fontId="3" fillId="9" borderId="16" applyAlignment="1" pivotButton="0" quotePrefix="0" xfId="0">
      <alignment vertical="center" wrapText="1"/>
    </xf>
    <xf numFmtId="0" fontId="3" fillId="0" borderId="12" applyAlignment="1" pivotButton="0" quotePrefix="0" xfId="0">
      <alignment vertical="center" wrapText="1"/>
    </xf>
    <xf numFmtId="0" fontId="0" fillId="0" borderId="0" applyAlignment="1" pivotButton="0" quotePrefix="0" xfId="0">
      <alignment horizontal="right" vertical="center" wrapText="1"/>
    </xf>
    <xf numFmtId="0" fontId="67" fillId="0" borderId="8" applyAlignment="1" pivotButton="0" quotePrefix="0" xfId="0">
      <alignment vertical="center" wrapText="1"/>
    </xf>
    <xf numFmtId="0" fontId="1" fillId="2" borderId="13" applyAlignment="1" pivotButton="0" quotePrefix="0" xfId="0">
      <alignment vertical="center" wrapText="1"/>
    </xf>
    <xf numFmtId="0" fontId="3" fillId="0" borderId="8" applyAlignment="1" pivotButton="0" quotePrefix="0" xfId="0">
      <alignment vertical="center"/>
    </xf>
    <xf numFmtId="0" fontId="23" fillId="0" borderId="8" applyAlignment="1" pivotButton="0" quotePrefix="0" xfId="0">
      <alignment vertical="center"/>
    </xf>
    <xf numFmtId="0" fontId="20" fillId="0" borderId="0" applyAlignment="1" pivotButton="0" quotePrefix="0" xfId="0">
      <alignment horizontal="center" vertical="top" wrapText="1"/>
    </xf>
    <xf numFmtId="0" fontId="20" fillId="0" borderId="0" applyAlignment="1" pivotButton="0" quotePrefix="0" xfId="0">
      <alignment horizontal="center" vertical="top" wrapText="1"/>
    </xf>
    <xf numFmtId="0" fontId="3" fillId="9" borderId="1" applyAlignment="1" pivotButton="0" quotePrefix="0" xfId="0">
      <alignment vertical="center"/>
    </xf>
    <xf numFmtId="0" fontId="3" fillId="9" borderId="1" applyAlignment="1" pivotButton="0" quotePrefix="0" xfId="0">
      <alignment vertical="center"/>
    </xf>
    <xf numFmtId="0" fontId="3" fillId="9" borderId="1" applyAlignment="1" pivotButton="0" quotePrefix="0" xfId="0">
      <alignment vertical="center" wrapText="1"/>
    </xf>
    <xf numFmtId="0" fontId="21" fillId="0" borderId="6" applyAlignment="1" pivotButton="0" quotePrefix="0" xfId="0">
      <alignment wrapText="1"/>
    </xf>
    <xf numFmtId="0" fontId="20" fillId="0" borderId="6" applyAlignment="1" pivotButton="0" quotePrefix="0" xfId="0">
      <alignment horizontal="left" wrapText="1"/>
    </xf>
    <xf numFmtId="0" fontId="20" fillId="0" borderId="8" applyAlignment="1" pivotButton="0" quotePrefix="0" xfId="0">
      <alignment wrapText="1"/>
    </xf>
    <xf numFmtId="0" fontId="20" fillId="0" borderId="8" applyAlignment="1" pivotButton="0" quotePrefix="0" xfId="0">
      <alignment horizontal="center" vertical="top" wrapText="1"/>
    </xf>
    <xf numFmtId="0" fontId="1" fillId="2" borderId="1" applyAlignment="1" pivotButton="0" quotePrefix="0" xfId="0">
      <alignment horizontal="center" vertical="top" wrapText="1"/>
    </xf>
    <xf numFmtId="0" fontId="47" fillId="2" borderId="1" applyAlignment="1" pivotButton="0" quotePrefix="0" xfId="0">
      <alignment vertical="center" wrapText="1"/>
    </xf>
    <xf numFmtId="0" fontId="20" fillId="0" borderId="2" applyAlignment="1" pivotButton="0" quotePrefix="0" xfId="0">
      <alignment vertical="center" wrapText="1"/>
    </xf>
    <xf numFmtId="0" fontId="20" fillId="0" borderId="0" applyAlignment="1" pivotButton="0" quotePrefix="0" xfId="0">
      <alignment vertical="center"/>
    </xf>
    <xf numFmtId="0" fontId="3" fillId="0" borderId="0" applyAlignment="1" pivotButton="0" quotePrefix="0" xfId="0">
      <alignment horizontal="center" vertical="center" wrapText="1"/>
    </xf>
    <xf numFmtId="0" fontId="20" fillId="0" borderId="2"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27" fillId="0" borderId="0" applyAlignment="1" pivotButton="0" quotePrefix="0" xfId="0">
      <alignment vertical="center" wrapText="1"/>
    </xf>
    <xf numFmtId="0" fontId="68" fillId="0" borderId="2" applyAlignment="1" pivotButton="0" quotePrefix="0" xfId="0">
      <alignment vertical="center" wrapText="1"/>
    </xf>
    <xf numFmtId="0" fontId="47" fillId="2" borderId="4" applyAlignment="1" pivotButton="0" quotePrefix="0" xfId="0">
      <alignment vertical="center" wrapText="1"/>
    </xf>
    <xf numFmtId="0" fontId="3" fillId="0" borderId="0" applyAlignment="1" pivotButton="0" quotePrefix="0" xfId="0">
      <alignment vertical="center" wrapText="1"/>
    </xf>
    <xf numFmtId="0" fontId="3" fillId="0" borderId="1" applyAlignment="1" pivotButton="0" quotePrefix="0" xfId="0">
      <alignment vertical="center" wrapText="1"/>
    </xf>
    <xf numFmtId="0" fontId="69" fillId="0" borderId="5" applyAlignment="1" pivotButton="0" quotePrefix="0" xfId="0">
      <alignment vertical="center" wrapText="1"/>
    </xf>
    <xf numFmtId="0" fontId="7" fillId="0" borderId="1" applyAlignment="1" pivotButton="0" quotePrefix="0" xfId="0">
      <alignment vertical="center" wrapText="1"/>
    </xf>
    <xf numFmtId="0" fontId="70" fillId="0" borderId="1" applyAlignment="1" pivotButton="0" quotePrefix="0" xfId="0">
      <alignment vertical="center" wrapText="1"/>
    </xf>
    <xf numFmtId="0" fontId="47" fillId="2" borderId="1" applyAlignment="1" pivotButton="0" quotePrefix="0" xfId="0">
      <alignment horizontal="center" vertical="center" wrapText="1"/>
    </xf>
    <xf numFmtId="0" fontId="47" fillId="2" borderId="1" applyAlignment="1" pivotButton="0" quotePrefix="0" xfId="0">
      <alignment vertical="center" wrapText="1"/>
    </xf>
    <xf numFmtId="0" fontId="20" fillId="0" borderId="0" applyAlignment="1" pivotButton="0" quotePrefix="0" xfId="0">
      <alignment vertical="center" wrapText="1"/>
    </xf>
    <xf numFmtId="0" fontId="71" fillId="0" borderId="1" applyAlignment="1" pivotButton="0" quotePrefix="0" xfId="0">
      <alignment vertical="center" wrapText="1"/>
    </xf>
    <xf numFmtId="0" fontId="20" fillId="0" borderId="0" applyAlignment="1" pivotButton="0" quotePrefix="0" xfId="0">
      <alignment vertical="center" wrapText="1"/>
    </xf>
    <xf numFmtId="0" fontId="3" fillId="9" borderId="1" applyAlignment="1" pivotButton="0" quotePrefix="0" xfId="0">
      <alignment vertical="center" wrapText="1"/>
    </xf>
    <xf numFmtId="0" fontId="21" fillId="0" borderId="15" applyAlignment="1" pivotButton="0" quotePrefix="0" xfId="0">
      <alignment vertical="center" wrapText="1"/>
    </xf>
    <xf numFmtId="0" fontId="72" fillId="0" borderId="0" applyAlignment="1" pivotButton="0" quotePrefix="0" xfId="0">
      <alignment vertical="center" wrapText="1"/>
    </xf>
    <xf numFmtId="0" fontId="20" fillId="0" borderId="0" applyAlignment="1" pivotButton="0" quotePrefix="0" xfId="0">
      <alignment vertical="center" wrapText="1"/>
    </xf>
    <xf numFmtId="0" fontId="20" fillId="0" borderId="0" applyAlignment="1" pivotButton="0" quotePrefix="0" xfId="0">
      <alignment vertical="center"/>
    </xf>
    <xf numFmtId="0" fontId="28" fillId="9" borderId="0" applyAlignment="1" pivotButton="0" quotePrefix="0" xfId="0">
      <alignment horizontal="left" vertical="center" wrapText="1"/>
    </xf>
    <xf numFmtId="0" fontId="73" fillId="9" borderId="0" applyAlignment="1" pivotButton="0" quotePrefix="0" xfId="0">
      <alignment vertical="center"/>
    </xf>
    <xf numFmtId="0" fontId="47" fillId="2" borderId="0" applyAlignment="1" pivotButton="0" quotePrefix="0" xfId="0">
      <alignment vertical="center"/>
    </xf>
    <xf numFmtId="0" fontId="28" fillId="0" borderId="0" applyAlignment="1" pivotButton="0" quotePrefix="0" xfId="0">
      <alignment vertical="center" wrapText="1"/>
    </xf>
    <xf numFmtId="0" fontId="21" fillId="0" borderId="0" applyAlignment="1" pivotButton="0" quotePrefix="0" xfId="0">
      <alignment vertical="center" wrapText="1"/>
    </xf>
    <xf numFmtId="0" fontId="74" fillId="0" borderId="0" applyAlignment="1" pivotButton="0" quotePrefix="0" xfId="0">
      <alignment vertical="center"/>
    </xf>
    <xf numFmtId="0" fontId="75" fillId="0" borderId="0" applyAlignment="1" pivotButton="0" quotePrefix="0" xfId="0">
      <alignment vertical="center"/>
    </xf>
    <xf numFmtId="0" fontId="47" fillId="2" borderId="0" applyAlignment="1" pivotButton="0" quotePrefix="0" xfId="0">
      <alignment vertical="center"/>
    </xf>
    <xf numFmtId="0" fontId="21" fillId="0" borderId="0" applyAlignment="1" pivotButton="0" quotePrefix="0" xfId="0">
      <alignment vertical="center"/>
    </xf>
    <xf numFmtId="0" fontId="20" fillId="0" borderId="0" applyAlignment="1" pivotButton="0" quotePrefix="0" xfId="0">
      <alignment vertical="center"/>
    </xf>
    <xf numFmtId="0" fontId="76" fillId="0" borderId="0" applyAlignment="1" pivotButton="0" quotePrefix="0" xfId="0">
      <alignment vertical="center"/>
    </xf>
    <xf numFmtId="0" fontId="28" fillId="0" borderId="0" applyAlignment="1" pivotButton="0" quotePrefix="0" xfId="0">
      <alignment horizontal="left" vertical="center" wrapText="1"/>
    </xf>
    <xf numFmtId="0" fontId="47" fillId="2" borderId="13" applyAlignment="1" pivotButton="0" quotePrefix="0" xfId="0">
      <alignment vertical="center" wrapText="1"/>
    </xf>
    <xf numFmtId="0" fontId="47" fillId="2" borderId="11" applyAlignment="1" pivotButton="0" quotePrefix="0" xfId="0">
      <alignment vertical="center" wrapText="1"/>
    </xf>
    <xf numFmtId="0" fontId="20" fillId="0" borderId="13" applyAlignment="1" pivotButton="0" quotePrefix="0" xfId="0">
      <alignment vertical="center" wrapText="1"/>
    </xf>
    <xf numFmtId="0" fontId="20" fillId="0" borderId="11" applyAlignment="1" pivotButton="0" quotePrefix="0" xfId="0">
      <alignment vertical="center" wrapText="1"/>
    </xf>
    <xf numFmtId="0" fontId="28" fillId="0" borderId="11" applyAlignment="1" pivotButton="0" quotePrefix="0" xfId="0">
      <alignment vertical="center" wrapText="1"/>
    </xf>
    <xf numFmtId="0" fontId="20" fillId="0" borderId="11" applyAlignment="1" pivotButton="0" quotePrefix="0" xfId="0">
      <alignment vertical="center" wrapText="1"/>
    </xf>
    <xf numFmtId="0" fontId="20" fillId="0" borderId="11" applyAlignment="1" pivotButton="0" quotePrefix="0" xfId="0">
      <alignment vertical="center" wrapText="1"/>
    </xf>
    <xf numFmtId="0" fontId="20" fillId="0" borderId="11" applyAlignment="1" pivotButton="0" quotePrefix="0" xfId="0">
      <alignment vertical="center" wrapText="1"/>
    </xf>
    <xf numFmtId="0" fontId="20" fillId="0" borderId="13" applyAlignment="1" pivotButton="0" quotePrefix="0" xfId="0">
      <alignment vertical="center" wrapText="1"/>
    </xf>
    <xf numFmtId="0" fontId="77" fillId="9" borderId="11" applyAlignment="1" pivotButton="0" quotePrefix="0" xfId="0">
      <alignment vertical="center" wrapText="1"/>
    </xf>
    <xf numFmtId="0" fontId="77" fillId="9" borderId="1" applyAlignment="1" pivotButton="0" quotePrefix="0" xfId="0">
      <alignment vertical="center" wrapText="1"/>
    </xf>
    <xf numFmtId="0" fontId="28" fillId="0" borderId="11" applyAlignment="1" pivotButton="0" quotePrefix="0" xfId="0">
      <alignment vertical="center" wrapText="1"/>
    </xf>
    <xf numFmtId="0" fontId="20" fillId="0" borderId="1" applyAlignment="1" pivotButton="0" quotePrefix="0" xfId="0">
      <alignment vertical="center" wrapText="1"/>
    </xf>
    <xf numFmtId="0" fontId="78" fillId="0" borderId="11" applyAlignment="1" pivotButton="0" quotePrefix="0" xfId="0">
      <alignment vertical="center" wrapText="1"/>
    </xf>
    <xf numFmtId="0" fontId="20" fillId="0" borderId="1" applyAlignment="1" pivotButton="0" quotePrefix="0" xfId="0">
      <alignment vertical="center" wrapText="1"/>
    </xf>
    <xf numFmtId="0" fontId="20" fillId="0" borderId="11" applyAlignment="1" pivotButton="0" quotePrefix="0" xfId="0">
      <alignment vertical="center" wrapText="1"/>
    </xf>
    <xf numFmtId="0" fontId="79" fillId="0" borderId="1" applyAlignment="1" pivotButton="0" quotePrefix="0" xfId="0">
      <alignment vertical="center" wrapText="1"/>
    </xf>
    <xf numFmtId="0" fontId="14" fillId="0" borderId="0" applyAlignment="1" pivotButton="0" quotePrefix="0" xfId="0">
      <alignment vertical="center" wrapText="1"/>
    </xf>
    <xf numFmtId="0" fontId="28" fillId="9" borderId="11" applyAlignment="1" pivotButton="0" quotePrefix="0" xfId="0">
      <alignment vertical="center" wrapText="1"/>
    </xf>
    <xf numFmtId="0" fontId="80" fillId="0" borderId="1" applyAlignment="1" pivotButton="0" quotePrefix="0" xfId="0">
      <alignment vertical="center" wrapText="1"/>
    </xf>
    <xf numFmtId="0" fontId="20" fillId="0" borderId="1" applyAlignment="1" pivotButton="0" quotePrefix="0" xfId="0">
      <alignment vertical="center" wrapText="1"/>
    </xf>
    <xf numFmtId="0" fontId="20" fillId="0" borderId="9" applyAlignment="1" pivotButton="0" quotePrefix="0" xfId="0">
      <alignment vertical="center" wrapText="1"/>
    </xf>
    <xf numFmtId="0" fontId="81" fillId="0" borderId="2" applyAlignment="1" pivotButton="0" quotePrefix="0" xfId="0">
      <alignment vertical="center" wrapText="1"/>
    </xf>
    <xf numFmtId="0" fontId="82" fillId="2" borderId="0" applyAlignment="1" pivotButton="0" quotePrefix="0" xfId="0">
      <alignment vertical="center" wrapText="1"/>
    </xf>
    <xf numFmtId="0" fontId="83" fillId="9" borderId="0" applyAlignment="1" pivotButton="0" quotePrefix="0" xfId="0">
      <alignment vertical="center" wrapText="1"/>
    </xf>
    <xf numFmtId="0" fontId="47" fillId="0" borderId="0" applyAlignment="1" pivotButton="0" quotePrefix="0" xfId="0">
      <alignment vertical="center" wrapText="1"/>
    </xf>
    <xf numFmtId="0" fontId="84" fillId="0" borderId="8" applyAlignment="1" pivotButton="0" quotePrefix="0" xfId="0">
      <alignment vertical="center" wrapText="1"/>
    </xf>
    <xf numFmtId="0" fontId="85" fillId="0" borderId="1" applyAlignment="1" pivotButton="0" quotePrefix="0" xfId="0">
      <alignment vertical="center" wrapText="1"/>
    </xf>
    <xf numFmtId="0" fontId="47" fillId="2" borderId="1" applyAlignment="1" pivotButton="0" quotePrefix="0" xfId="0">
      <alignment horizontal="center" vertical="center" wrapText="1"/>
    </xf>
    <xf numFmtId="0" fontId="20" fillId="0" borderId="1" applyAlignment="1" pivotButton="0" quotePrefix="0" xfId="0">
      <alignment vertical="center" wrapText="1"/>
    </xf>
    <xf numFmtId="0" fontId="20" fillId="0" borderId="1" applyAlignment="1" pivotButton="0" quotePrefix="0" xfId="0">
      <alignment vertical="center"/>
    </xf>
    <xf numFmtId="0" fontId="6" fillId="19" borderId="10" applyAlignment="1" pivotButton="0" quotePrefix="0" xfId="0">
      <alignment horizontal="center" vertical="center"/>
    </xf>
    <xf numFmtId="0" fontId="20" fillId="0" borderId="1" applyAlignment="1" pivotButton="0" quotePrefix="0" xfId="0">
      <alignment vertical="center"/>
    </xf>
    <xf numFmtId="0" fontId="47" fillId="0" borderId="1" applyAlignment="1" pivotButton="0" quotePrefix="0" xfId="0">
      <alignment vertical="center" wrapText="1"/>
    </xf>
    <xf numFmtId="0" fontId="47" fillId="0" borderId="1" applyAlignment="1" pivotButton="0" quotePrefix="0" xfId="0">
      <alignment horizontal="center" vertical="center" wrapText="1"/>
    </xf>
    <xf numFmtId="0" fontId="7" fillId="9" borderId="0" applyAlignment="1" pivotButton="0" quotePrefix="0" xfId="0">
      <alignment horizontal="left" vertical="center" wrapText="1"/>
    </xf>
    <xf numFmtId="0" fontId="86" fillId="2" borderId="2" applyAlignment="1" pivotButton="0" quotePrefix="0" xfId="0">
      <alignment vertical="center" wrapText="1"/>
    </xf>
    <xf numFmtId="0" fontId="3" fillId="0" borderId="1" applyAlignment="1" pivotButton="0" quotePrefix="0" xfId="0">
      <alignment vertical="center"/>
    </xf>
    <xf numFmtId="0" fontId="3" fillId="0" borderId="3" applyAlignment="1" pivotButton="0" quotePrefix="0" xfId="0">
      <alignment vertical="center" wrapText="1"/>
    </xf>
    <xf numFmtId="0" fontId="23" fillId="0" borderId="3" applyAlignment="1" pivotButton="0" quotePrefix="0" xfId="0">
      <alignment vertical="center"/>
    </xf>
    <xf numFmtId="0" fontId="87" fillId="9" borderId="1" applyAlignment="1" pivotButton="0" quotePrefix="0" xfId="0">
      <alignment vertical="center" wrapText="1"/>
    </xf>
    <xf numFmtId="0" fontId="88" fillId="0" borderId="1" applyAlignment="1" pivotButton="0" quotePrefix="0" xfId="0">
      <alignment vertical="center" wrapText="1"/>
    </xf>
    <xf numFmtId="0" fontId="3" fillId="0" borderId="13" applyAlignment="1" pivotButton="0" quotePrefix="0" xfId="0">
      <alignment vertical="center"/>
    </xf>
    <xf numFmtId="0" fontId="4" fillId="0" borderId="3" applyAlignment="1" pivotButton="0" quotePrefix="0" xfId="0">
      <alignment vertical="center"/>
    </xf>
    <xf numFmtId="0" fontId="23" fillId="0" borderId="11" applyAlignment="1" pivotButton="0" quotePrefix="0" xfId="0">
      <alignment vertical="center"/>
    </xf>
    <xf numFmtId="0" fontId="89" fillId="9" borderId="11" applyAlignment="1" pivotButton="0" quotePrefix="0" xfId="0">
      <alignment vertical="center" wrapText="1"/>
    </xf>
    <xf numFmtId="0" fontId="4" fillId="0" borderId="13" applyAlignment="1" pivotButton="0" quotePrefix="0" xfId="0">
      <alignment vertical="center" wrapText="1"/>
    </xf>
    <xf numFmtId="0" fontId="47" fillId="0" borderId="1" applyAlignment="1" pivotButton="0" quotePrefix="0" xfId="0">
      <alignment vertical="center" wrapText="1"/>
    </xf>
    <xf numFmtId="0" fontId="89" fillId="9" borderId="11" applyAlignment="1" pivotButton="0" quotePrefix="0" xfId="0">
      <alignment vertical="center" wrapText="1"/>
    </xf>
    <xf numFmtId="0" fontId="4" fillId="0" borderId="13" applyAlignment="1" pivotButton="0" quotePrefix="0" xfId="0">
      <alignment vertical="center"/>
    </xf>
    <xf numFmtId="0" fontId="3" fillId="0" borderId="13" applyAlignment="1" pivotButton="0" quotePrefix="0" xfId="0">
      <alignment wrapText="1"/>
    </xf>
    <xf numFmtId="0" fontId="90" fillId="0" borderId="11" applyAlignment="1" pivotButton="0" quotePrefix="0" xfId="0">
      <alignment vertical="center"/>
    </xf>
    <xf numFmtId="0" fontId="91" fillId="0" borderId="11" applyAlignment="1" pivotButton="0" quotePrefix="0" xfId="0">
      <alignment vertical="center" wrapText="1"/>
    </xf>
    <xf numFmtId="0" fontId="92" fillId="0" borderId="1" applyAlignment="1" pivotButton="0" quotePrefix="0" xfId="0">
      <alignment vertical="center"/>
    </xf>
    <xf numFmtId="0" fontId="93" fillId="19" borderId="10" applyAlignment="1" pivotButton="0" quotePrefix="0" xfId="0">
      <alignment horizontal="center" vertical="center"/>
    </xf>
    <xf numFmtId="0" fontId="3" fillId="0" borderId="11" applyAlignment="1" pivotButton="0" quotePrefix="0" xfId="0">
      <alignment vertical="center" wrapText="1"/>
    </xf>
    <xf numFmtId="0" fontId="6" fillId="22" borderId="0" applyAlignment="1" pivotButton="0" quotePrefix="0" xfId="0">
      <alignment vertical="center"/>
    </xf>
    <xf numFmtId="0" fontId="47" fillId="2" borderId="1" applyAlignment="1" pivotButton="0" quotePrefix="0" xfId="0">
      <alignment vertical="center" wrapText="1"/>
    </xf>
    <xf numFmtId="0" fontId="89" fillId="22" borderId="0" applyAlignment="1" pivotButton="0" quotePrefix="0" xfId="0">
      <alignment vertical="center" wrapText="1"/>
    </xf>
    <xf numFmtId="0" fontId="4" fillId="22" borderId="0" applyAlignment="1" pivotButton="0" quotePrefix="0" xfId="0">
      <alignment vertical="center" wrapText="1"/>
    </xf>
    <xf numFmtId="0" fontId="23" fillId="22" borderId="0" applyAlignment="1" pivotButton="0" quotePrefix="0" xfId="0">
      <alignment vertical="center"/>
    </xf>
    <xf numFmtId="0" fontId="4" fillId="22" borderId="0" applyAlignment="1" pivotButton="0" quotePrefix="0" xfId="0">
      <alignment vertical="center"/>
    </xf>
    <xf numFmtId="0" fontId="11" fillId="0" borderId="1" applyAlignment="1" pivotButton="0" quotePrefix="0" xfId="0">
      <alignment vertical="center" wrapText="1"/>
    </xf>
    <xf numFmtId="0" fontId="94" fillId="0" borderId="1" applyAlignment="1" pivotButton="0" quotePrefix="0" xfId="0">
      <alignment vertical="center" wrapText="1"/>
    </xf>
    <xf numFmtId="0" fontId="11" fillId="0" borderId="1" applyAlignment="1" pivotButton="0" quotePrefix="0" xfId="0">
      <alignment vertical="center" wrapText="1"/>
    </xf>
    <xf numFmtId="0" fontId="95" fillId="0" borderId="1" applyAlignment="1" pivotButton="0" quotePrefix="0" xfId="0">
      <alignment vertical="center" wrapText="1"/>
    </xf>
    <xf numFmtId="0" fontId="3" fillId="0" borderId="1" pivotButton="0" quotePrefix="0" xfId="0"/>
    <xf numFmtId="0" fontId="11" fillId="0" borderId="3" applyAlignment="1" pivotButton="0" quotePrefix="0" xfId="0">
      <alignment wrapText="1"/>
    </xf>
    <xf numFmtId="0" fontId="96" fillId="0" borderId="3" applyAlignment="1" pivotButton="0" quotePrefix="0" xfId="0">
      <alignment wrapText="1"/>
    </xf>
    <xf numFmtId="0" fontId="41" fillId="0" borderId="1" applyAlignment="1" pivotButton="0" quotePrefix="0" xfId="0">
      <alignment vertical="center" wrapText="1"/>
    </xf>
    <xf numFmtId="0" fontId="97" fillId="9" borderId="1" applyAlignment="1" pivotButton="0" quotePrefix="0" xfId="0">
      <alignment horizontal="left" vertical="center" wrapText="1"/>
    </xf>
    <xf numFmtId="0" fontId="41" fillId="0" borderId="1" applyAlignment="1" pivotButton="0" quotePrefix="0" xfId="0">
      <alignment vertical="center" wrapText="1"/>
    </xf>
    <xf numFmtId="0" fontId="41" fillId="0" borderId="1" applyAlignment="1" pivotButton="0" quotePrefix="0" xfId="0">
      <alignment vertical="center"/>
    </xf>
    <xf numFmtId="165" fontId="41" fillId="0" borderId="1" applyAlignment="1" pivotButton="0" quotePrefix="0" xfId="0">
      <alignment vertical="center"/>
    </xf>
    <xf numFmtId="0" fontId="20" fillId="0" borderId="1" applyAlignment="1" pivotButton="0" quotePrefix="0" xfId="0">
      <alignment vertical="center" wrapText="1"/>
    </xf>
    <xf numFmtId="0" fontId="3" fillId="0" borderId="1" applyAlignment="1" pivotButton="0" quotePrefix="0" xfId="0">
      <alignment wrapText="1"/>
    </xf>
    <xf numFmtId="0" fontId="98" fillId="9" borderId="1" applyAlignment="1" pivotButton="0" quotePrefix="0" xfId="0">
      <alignment vertical="center" wrapText="1"/>
    </xf>
    <xf numFmtId="0" fontId="99" fillId="0" borderId="1" applyAlignment="1" pivotButton="0" quotePrefix="0" xfId="0">
      <alignment wrapText="1"/>
    </xf>
    <xf numFmtId="0" fontId="100" fillId="0" borderId="1" applyAlignment="1" pivotButton="0" quotePrefix="0" xfId="0">
      <alignment vertical="top" wrapText="1"/>
    </xf>
    <xf numFmtId="0" fontId="7" fillId="9" borderId="1" applyAlignment="1" pivotButton="0" quotePrefix="0" xfId="0">
      <alignment horizontal="left"/>
    </xf>
    <xf numFmtId="165" fontId="41" fillId="0" borderId="0" applyAlignment="1" pivotButton="0" quotePrefix="0" xfId="0">
      <alignment vertical="center"/>
    </xf>
    <xf numFmtId="0" fontId="41" fillId="0" borderId="0" applyAlignment="1" pivotButton="0" quotePrefix="0" xfId="0">
      <alignment vertical="center" wrapText="1"/>
    </xf>
    <xf numFmtId="0" fontId="41" fillId="0" borderId="1" applyAlignment="1" pivotButton="0" quotePrefix="0" xfId="0">
      <alignment horizontal="center" vertical="top" wrapText="1"/>
    </xf>
    <xf numFmtId="0" fontId="41" fillId="0" borderId="1" applyAlignment="1" pivotButton="0" quotePrefix="0" xfId="0">
      <alignment vertical="bottom" wrapText="1"/>
    </xf>
    <xf numFmtId="0" fontId="3" fillId="0" borderId="1" applyAlignment="1" pivotButton="0" quotePrefix="0" xfId="0">
      <alignment wrapText="1"/>
    </xf>
    <xf numFmtId="0" fontId="41" fillId="0" borderId="1" applyAlignment="1" pivotButton="0" quotePrefix="0" xfId="0">
      <alignment vertical="bottom"/>
    </xf>
    <xf numFmtId="0" fontId="6" fillId="0" borderId="1" applyAlignment="1" pivotButton="0" quotePrefix="0" xfId="0">
      <alignment wrapText="1"/>
    </xf>
    <xf numFmtId="0" fontId="41" fillId="0" borderId="1" applyAlignment="1" pivotButton="0" quotePrefix="0" xfId="0">
      <alignment vertical="bottom" wrapText="1"/>
    </xf>
    <xf numFmtId="0" fontId="101" fillId="0" borderId="1" applyAlignment="1" pivotButton="0" quotePrefix="0" xfId="0">
      <alignment wrapText="1"/>
    </xf>
    <xf numFmtId="0" fontId="102" fillId="9" borderId="1" applyAlignment="1" pivotButton="0" quotePrefix="0" xfId="0">
      <alignment horizontal="left" vertical="bottom" wrapText="1"/>
    </xf>
    <xf numFmtId="0" fontId="1" fillId="2" borderId="1" applyAlignment="1" pivotButton="0" quotePrefix="0" xfId="0">
      <alignment vertical="bottom" wrapText="1"/>
    </xf>
    <xf numFmtId="0" fontId="41" fillId="0" borderId="0" applyAlignment="1" pivotButton="0" quotePrefix="0" xfId="0">
      <alignment vertical="bottom" wrapText="1"/>
    </xf>
    <xf numFmtId="0" fontId="41" fillId="0" borderId="0" applyAlignment="1" pivotButton="0" quotePrefix="0" xfId="0">
      <alignment vertical="bottom" wrapText="1"/>
    </xf>
    <xf numFmtId="0" fontId="41" fillId="0" borderId="0" applyAlignment="1" pivotButton="0" quotePrefix="0" xfId="0">
      <alignment wrapText="1"/>
    </xf>
    <xf numFmtId="0" fontId="41" fillId="0" borderId="0" applyAlignment="1" pivotButton="0" quotePrefix="0" xfId="0">
      <alignment wrapText="1"/>
    </xf>
    <xf numFmtId="0" fontId="8" fillId="0" borderId="0" applyAlignment="1" pivotButton="0" quotePrefix="0" xfId="0">
      <alignment vertical="center" wrapText="1"/>
    </xf>
    <xf numFmtId="0" fontId="103" fillId="0" borderId="1" applyAlignment="1" pivotButton="0" quotePrefix="0" xfId="0">
      <alignment vertical="bottom" wrapText="1"/>
    </xf>
    <xf numFmtId="0" fontId="3" fillId="0" borderId="0" applyAlignment="1" pivotButton="0" quotePrefix="0" xfId="0">
      <alignment horizontal="center" vertical="center" wrapText="1"/>
    </xf>
    <xf numFmtId="0" fontId="7" fillId="0" borderId="0" applyAlignment="1" pivotButton="0" quotePrefix="0" xfId="0">
      <alignment vertical="center" wrapText="1"/>
    </xf>
    <xf numFmtId="0" fontId="104" fillId="0" borderId="0" applyAlignment="1" pivotButton="0" quotePrefix="0" xfId="0">
      <alignment vertical="bottom" wrapText="1"/>
    </xf>
    <xf numFmtId="0" fontId="41" fillId="9" borderId="8" applyAlignment="1" pivotButton="0" quotePrefix="0" xfId="0">
      <alignment vertical="bottom" wrapText="1"/>
    </xf>
    <xf numFmtId="0" fontId="41" fillId="0" borderId="8" applyAlignment="1" pivotButton="0" quotePrefix="0" xfId="0">
      <alignment vertical="bottom" wrapText="1"/>
    </xf>
    <xf numFmtId="0" fontId="105" fillId="0" borderId="2" applyAlignment="1" pivotButton="0" quotePrefix="0" xfId="0">
      <alignment vertical="center" wrapText="1"/>
    </xf>
    <xf numFmtId="0" fontId="1" fillId="2" borderId="13" applyAlignment="1" pivotButton="0" quotePrefix="0" xfId="0">
      <alignment vertical="bottom" wrapText="1"/>
    </xf>
    <xf numFmtId="0" fontId="1" fillId="2" borderId="11" applyAlignment="1" pivotButton="0" quotePrefix="0" xfId="0">
      <alignment vertical="bottom" wrapText="1"/>
    </xf>
    <xf numFmtId="0" fontId="1" fillId="2" borderId="11" applyAlignment="1" pivotButton="0" quotePrefix="0" xfId="0">
      <alignment vertical="top" wrapText="1"/>
    </xf>
    <xf numFmtId="0" fontId="1" fillId="2" borderId="11" applyAlignment="1" pivotButton="0" quotePrefix="0" xfId="0">
      <alignment horizontal="center" vertical="top" wrapText="1"/>
    </xf>
    <xf numFmtId="0" fontId="3" fillId="0" borderId="13" applyAlignment="1" pivotButton="0" quotePrefix="0" xfId="0">
      <alignment vertical="bottom" wrapText="1"/>
    </xf>
    <xf numFmtId="0" fontId="3" fillId="0" borderId="1" applyAlignment="1" pivotButton="0" quotePrefix="0" xfId="0">
      <alignment vertical="center"/>
    </xf>
    <xf numFmtId="0" fontId="3" fillId="0" borderId="1" applyAlignment="1" pivotButton="0" quotePrefix="0" xfId="0">
      <alignment vertical="bottom"/>
    </xf>
    <xf numFmtId="0" fontId="106" fillId="0" borderId="0" applyAlignment="1" pivotButton="0" quotePrefix="0" xfId="0">
      <alignment vertical="center" wrapText="1"/>
    </xf>
    <xf numFmtId="0" fontId="3" fillId="0" borderId="11" applyAlignment="1" pivotButton="0" quotePrefix="0" xfId="0">
      <alignment vertical="bottom" wrapText="1"/>
    </xf>
    <xf numFmtId="0" fontId="6" fillId="0" borderId="8" applyAlignment="1" pivotButton="0" quotePrefix="0" xfId="0">
      <alignment vertical="center" wrapText="1"/>
    </xf>
    <xf numFmtId="0" fontId="3" fillId="0" borderId="11" applyAlignment="1" pivotButton="0" quotePrefix="0" xfId="0">
      <alignment vertical="bottom" wrapText="1"/>
    </xf>
    <xf numFmtId="0" fontId="3" fillId="0" borderId="11" applyAlignment="1" pivotButton="0" quotePrefix="0" xfId="0">
      <alignment vertical="top" wrapText="1"/>
    </xf>
    <xf numFmtId="0" fontId="3" fillId="0" borderId="8" applyAlignment="1" pivotButton="0" quotePrefix="0" xfId="0">
      <alignment horizontal="center" vertical="center" wrapText="1"/>
    </xf>
    <xf numFmtId="0" fontId="41" fillId="0" borderId="0" applyAlignment="1" pivotButton="0" quotePrefix="0" xfId="0">
      <alignment vertical="bottom" wrapText="1"/>
    </xf>
    <xf numFmtId="0" fontId="107" fillId="0" borderId="1" applyAlignment="1" pivotButton="0" quotePrefix="0" xfId="0">
      <alignment vertical="center"/>
    </xf>
    <xf numFmtId="0" fontId="25" fillId="0" borderId="1" applyAlignment="1" pivotButton="0" quotePrefix="0" xfId="0">
      <alignment vertical="center" wrapText="1"/>
    </xf>
    <xf numFmtId="0" fontId="36" fillId="0" borderId="1" applyAlignment="1" pivotButton="0" quotePrefix="0" xfId="0">
      <alignment vertical="center" wrapText="1"/>
    </xf>
    <xf numFmtId="0" fontId="3" fillId="9" borderId="1" applyAlignment="1" pivotButton="0" quotePrefix="0" xfId="0">
      <alignment vertical="center" wrapText="1"/>
    </xf>
    <xf numFmtId="0" fontId="6" fillId="0" borderId="1" applyAlignment="1" pivotButton="0" quotePrefix="0" xfId="0">
      <alignment vertical="center" wrapText="1"/>
    </xf>
    <xf numFmtId="0" fontId="1" fillId="2" borderId="0" applyAlignment="1" pivotButton="0" quotePrefix="0" xfId="0">
      <alignment vertical="center" wrapText="1"/>
    </xf>
    <xf numFmtId="0" fontId="1" fillId="2" borderId="1" applyAlignment="1" pivotButton="0" quotePrefix="0" xfId="0">
      <alignment vertical="center" wrapText="1"/>
    </xf>
    <xf numFmtId="0" fontId="1" fillId="2" borderId="1" applyAlignment="1" pivotButton="0" quotePrefix="0" xfId="0">
      <alignment horizontal="center" vertical="center" wrapText="1"/>
    </xf>
    <xf numFmtId="0" fontId="108" fillId="0" borderId="1" applyAlignment="1" pivotButton="0" quotePrefix="0" xfId="0">
      <alignment vertical="center"/>
    </xf>
    <xf numFmtId="0" fontId="23" fillId="0" borderId="1" applyAlignment="1" pivotButton="0" quotePrefix="0" xfId="0">
      <alignment vertical="center" wrapText="1"/>
    </xf>
    <xf numFmtId="0" fontId="7" fillId="9" borderId="1" applyAlignment="1" pivotButton="0" quotePrefix="0" xfId="0">
      <alignment horizontal="left"/>
    </xf>
    <xf numFmtId="0" fontId="109" fillId="0" borderId="1" applyAlignment="1" pivotButton="0" quotePrefix="0" xfId="0">
      <alignment vertical="bottom" wrapText="1"/>
    </xf>
    <xf numFmtId="0" fontId="7" fillId="9" borderId="1" applyAlignment="1" pivotButton="0" quotePrefix="0" xfId="0">
      <alignment vertical="center" wrapText="1"/>
    </xf>
    <xf numFmtId="0" fontId="110" fillId="0" borderId="1" applyAlignment="1" pivotButton="0" quotePrefix="0" xfId="0">
      <alignment vertical="center"/>
    </xf>
    <xf numFmtId="0" fontId="6" fillId="0" borderId="1" applyAlignment="1" pivotButton="0" quotePrefix="0" xfId="0">
      <alignment vertical="center" wrapText="1"/>
    </xf>
    <xf numFmtId="0" fontId="4" fillId="0" borderId="0" applyAlignment="1" pivotButton="0" quotePrefix="0" xfId="0">
      <alignment vertical="top" wrapText="1"/>
    </xf>
    <xf numFmtId="0" fontId="3" fillId="0" borderId="2" applyAlignment="1" pivotButton="0" quotePrefix="0" xfId="0">
      <alignment wrapText="1"/>
    </xf>
    <xf numFmtId="0" fontId="6" fillId="0" borderId="0" applyAlignment="1" pivotButton="0" quotePrefix="0" xfId="0">
      <alignment vertical="center" wrapText="1"/>
    </xf>
    <xf numFmtId="0" fontId="3" fillId="14" borderId="1" applyAlignment="1" pivotButton="0" quotePrefix="0" xfId="0">
      <alignment vertical="center"/>
    </xf>
    <xf numFmtId="0" fontId="3" fillId="14" borderId="1" applyAlignment="1" pivotButton="0" quotePrefix="0" xfId="0">
      <alignment vertical="center" wrapText="1"/>
    </xf>
    <xf numFmtId="0" fontId="3" fillId="14" borderId="1" applyAlignment="1" pivotButton="0" quotePrefix="0" xfId="0">
      <alignment vertical="center" wrapText="1"/>
    </xf>
    <xf numFmtId="0" fontId="4" fillId="14" borderId="1" applyAlignment="1" pivotButton="0" quotePrefix="0" xfId="0">
      <alignment vertical="center" wrapText="1"/>
    </xf>
    <xf numFmtId="0" fontId="111" fillId="14" borderId="1"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8" fillId="22" borderId="0" applyAlignment="1" pivotButton="0" quotePrefix="0" xfId="0">
      <alignment vertical="center" wrapText="1"/>
    </xf>
    <xf numFmtId="0" fontId="1" fillId="22" borderId="1" applyAlignment="1" pivotButton="0" quotePrefix="0" xfId="0">
      <alignment vertical="center" wrapText="1"/>
    </xf>
    <xf numFmtId="0" fontId="1" fillId="22" borderId="1" applyAlignment="1" pivotButton="0" quotePrefix="0" xfId="0">
      <alignment horizontal="center" vertical="center" wrapText="1"/>
    </xf>
    <xf numFmtId="0" fontId="1" fillId="22" borderId="0" applyAlignment="1" pivotButton="0" quotePrefix="0" xfId="0">
      <alignment vertical="center" wrapText="1"/>
    </xf>
    <xf numFmtId="0" fontId="1" fillId="22" borderId="0" applyAlignment="1" pivotButton="0" quotePrefix="0" xfId="0">
      <alignment vertical="center" wrapText="1"/>
    </xf>
    <xf numFmtId="0" fontId="8" fillId="22" borderId="0" applyAlignment="1" pivotButton="0" quotePrefix="0" xfId="0">
      <alignment vertical="center"/>
    </xf>
    <xf numFmtId="0" fontId="1" fillId="22" borderId="0" applyAlignment="1" pivotButton="0" quotePrefix="0" xfId="0">
      <alignment horizontal="center" vertical="center" wrapText="1"/>
    </xf>
    <xf numFmtId="0" fontId="112" fillId="2" borderId="1" applyAlignment="1" pivotButton="0" quotePrefix="0" xfId="0">
      <alignment vertical="center" wrapText="1"/>
    </xf>
    <xf numFmtId="0" fontId="4" fillId="0" borderId="1" applyAlignment="1" pivotButton="0" quotePrefix="0" xfId="0">
      <alignment vertical="center" wrapText="1"/>
    </xf>
    <xf numFmtId="0" fontId="11" fillId="0" borderId="2" applyAlignment="1" pivotButton="0" quotePrefix="0" xfId="0">
      <alignment vertical="center" wrapText="1"/>
    </xf>
    <xf numFmtId="0" fontId="94" fillId="0" borderId="0" applyAlignment="1" pivotButton="0" quotePrefix="0" xfId="0">
      <alignment vertical="center" wrapText="1"/>
    </xf>
    <xf numFmtId="0" fontId="94" fillId="0" borderId="0" applyAlignment="1" pivotButton="0" quotePrefix="0" xfId="0">
      <alignment vertical="center" wrapText="1"/>
    </xf>
    <xf numFmtId="0" fontId="112" fillId="2" borderId="1" applyAlignment="1" pivotButton="0" quotePrefix="0" xfId="0">
      <alignment vertical="center" wrapText="1"/>
    </xf>
    <xf numFmtId="0" fontId="113" fillId="0" borderId="2" applyAlignment="1" pivotButton="0" quotePrefix="0" xfId="0">
      <alignment vertical="center" wrapText="1"/>
    </xf>
    <xf numFmtId="0" fontId="3" fillId="0" borderId="4" applyAlignment="1" pivotButton="0" quotePrefix="0" xfId="0">
      <alignment vertical="center" wrapText="1"/>
    </xf>
    <xf numFmtId="0" fontId="112" fillId="0" borderId="0" applyAlignment="1" pivotButton="0" quotePrefix="0" xfId="0">
      <alignment vertical="center" wrapText="1"/>
    </xf>
    <xf numFmtId="0" fontId="7" fillId="9" borderId="4" applyAlignment="1" pivotButton="0" quotePrefix="0" xfId="0">
      <alignment vertical="center" wrapText="1"/>
    </xf>
    <xf numFmtId="0" fontId="112" fillId="0" borderId="0" applyAlignment="1" pivotButton="0" quotePrefix="0" xfId="0">
      <alignment horizontal="center" vertical="center" wrapText="1"/>
    </xf>
    <xf numFmtId="0" fontId="112" fillId="2" borderId="0" applyAlignment="1" pivotButton="0" quotePrefix="0" xfId="0">
      <alignment horizontal="center" vertical="center" wrapText="1"/>
    </xf>
    <xf numFmtId="0" fontId="3" fillId="0" borderId="4" applyAlignment="1" pivotButton="0" quotePrefix="0" xfId="0">
      <alignment vertical="center" wrapText="1"/>
    </xf>
    <xf numFmtId="0" fontId="112" fillId="2" borderId="1" applyAlignment="1" pivotButton="0" quotePrefix="0" xfId="0">
      <alignment horizontal="center" vertical="center" wrapText="1"/>
    </xf>
    <xf numFmtId="0" fontId="114" fillId="0" borderId="2" applyAlignment="1" pivotButton="0" quotePrefix="0" xfId="0">
      <alignment vertical="center" wrapText="1"/>
    </xf>
    <xf numFmtId="0" fontId="4" fillId="0" borderId="4" applyAlignment="1" pivotButton="0" quotePrefix="0" xfId="0">
      <alignment vertical="center" wrapText="1"/>
    </xf>
    <xf numFmtId="0" fontId="1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2" fillId="0" borderId="0" applyAlignment="1" pivotButton="0" quotePrefix="0" xfId="0">
      <alignment vertical="center" wrapText="1"/>
    </xf>
    <xf numFmtId="0" fontId="112" fillId="2" borderId="0" applyAlignment="1" pivotButton="0" quotePrefix="0" xfId="0">
      <alignment vertical="center" wrapText="1"/>
    </xf>
    <xf numFmtId="0" fontId="114" fillId="22" borderId="1" applyAlignment="1" pivotButton="0" quotePrefix="0" xfId="0">
      <alignment vertical="center" wrapText="1"/>
    </xf>
    <xf numFmtId="0" fontId="112" fillId="22" borderId="1" applyAlignment="1" pivotButton="0" quotePrefix="0" xfId="0">
      <alignment vertical="center" wrapText="1"/>
    </xf>
    <xf numFmtId="0" fontId="112" fillId="22" borderId="1" applyAlignment="1" pivotButton="0" quotePrefix="0" xfId="0">
      <alignment horizontal="center" vertical="center" wrapText="1"/>
    </xf>
    <xf numFmtId="0" fontId="115" fillId="9" borderId="0" applyAlignment="1" pivotButton="0" quotePrefix="0" xfId="0">
      <alignment horizontal="left" vertical="center" wrapText="1"/>
    </xf>
    <xf numFmtId="0" fontId="112" fillId="22" borderId="0" applyAlignment="1" pivotButton="0" quotePrefix="0" xfId="0">
      <alignment vertical="center" wrapText="1"/>
    </xf>
    <xf numFmtId="0" fontId="112" fillId="22" borderId="0" applyAlignment="1" pivotButton="0" quotePrefix="0" xfId="0">
      <alignment vertical="center" wrapText="1"/>
    </xf>
    <xf numFmtId="0" fontId="116" fillId="0" borderId="1" applyAlignment="1" pivotButton="0" quotePrefix="0" xfId="0">
      <alignment horizontal="center" vertical="center" wrapText="1"/>
    </xf>
    <xf numFmtId="0" fontId="117" fillId="22" borderId="0" applyAlignment="1" pivotButton="0" quotePrefix="0" xfId="0">
      <alignment horizontal="center" vertical="center" wrapText="1"/>
    </xf>
    <xf numFmtId="0" fontId="116" fillId="0" borderId="1" applyAlignment="1" pivotButton="0" quotePrefix="0" xfId="0">
      <alignment vertical="center" wrapText="1"/>
    </xf>
    <xf numFmtId="0" fontId="11" fillId="0" borderId="0" applyAlignment="1" pivotButton="0" quotePrefix="0" xfId="0">
      <alignment horizontal="center" vertical="center"/>
    </xf>
    <xf numFmtId="0" fontId="48" fillId="7" borderId="1" applyAlignment="1" pivotButton="0" quotePrefix="0" xfId="0">
      <alignment horizontal="center"/>
    </xf>
    <xf numFmtId="0" fontId="11" fillId="0" borderId="1" applyAlignment="1" pivotButton="0" quotePrefix="0" xfId="0">
      <alignment wrapText="1"/>
    </xf>
    <xf numFmtId="0" fontId="23" fillId="0" borderId="1" pivotButton="0" quotePrefix="0" xfId="0"/>
    <xf numFmtId="0" fontId="94" fillId="9" borderId="1" applyAlignment="1" pivotButton="0" quotePrefix="0" xfId="0">
      <alignment horizontal="left" vertical="center" wrapText="1"/>
    </xf>
    <xf numFmtId="0" fontId="3" fillId="0" borderId="2" applyAlignment="1" pivotButton="0" quotePrefix="0" xfId="0">
      <alignment vertical="bottom" wrapText="1"/>
    </xf>
    <xf numFmtId="0" fontId="48" fillId="7" borderId="1" applyAlignment="1" pivotButton="0" quotePrefix="0" xfId="0">
      <alignment horizontal="center" vertical="top" wrapText="1"/>
    </xf>
    <xf numFmtId="0" fontId="11" fillId="0" borderId="1" applyAlignment="1" pivotButton="0" quotePrefix="0" xfId="0">
      <alignment horizontal="center" vertical="center"/>
    </xf>
    <xf numFmtId="0" fontId="41" fillId="0" borderId="0" applyAlignment="1" pivotButton="0" quotePrefix="0" xfId="0">
      <alignment vertical="bottom"/>
    </xf>
    <xf numFmtId="0" fontId="116" fillId="0" borderId="1" applyAlignment="1" pivotButton="0" quotePrefix="0" xfId="0">
      <alignment vertical="center" wrapText="1"/>
    </xf>
    <xf numFmtId="0" fontId="20" fillId="0" borderId="1" applyAlignment="1" pivotButton="0" quotePrefix="0" xfId="0">
      <alignment horizontal="center"/>
    </xf>
    <xf numFmtId="0" fontId="41" fillId="0" borderId="0" applyAlignment="1" pivotButton="0" quotePrefix="0" xfId="0">
      <alignment vertical="bottom"/>
    </xf>
    <xf numFmtId="0" fontId="20" fillId="0" borderId="1" applyAlignment="1" pivotButton="0" quotePrefix="0" xfId="0">
      <alignment vertical="top" wrapText="1"/>
    </xf>
    <xf numFmtId="0" fontId="20" fillId="0" borderId="1" applyAlignment="1" pivotButton="0" quotePrefix="0" xfId="0">
      <alignment vertical="bottom" wrapText="1"/>
    </xf>
    <xf numFmtId="0" fontId="20" fillId="0" borderId="5" applyAlignment="1" pivotButton="0" quotePrefix="0" xfId="0">
      <alignment vertical="bottom" wrapText="1"/>
    </xf>
    <xf numFmtId="0" fontId="20" fillId="0" borderId="5" pivotButton="0" quotePrefix="0" xfId="0"/>
    <xf numFmtId="0" fontId="20" fillId="0" borderId="1" applyAlignment="1" pivotButton="0" quotePrefix="0" xfId="0">
      <alignment vertical="top"/>
    </xf>
    <xf numFmtId="0" fontId="118" fillId="0" borderId="2" applyAlignment="1" pivotButton="0" quotePrefix="0" xfId="0">
      <alignment vertical="bottom" wrapText="1"/>
    </xf>
    <xf numFmtId="0" fontId="1" fillId="2" borderId="1" applyAlignment="1" pivotButton="0" quotePrefix="0" xfId="0">
      <alignment vertical="bottom" wrapText="1"/>
    </xf>
    <xf numFmtId="0" fontId="20" fillId="0" borderId="1" applyAlignment="1" pivotButton="0" quotePrefix="0" xfId="0">
      <alignment vertical="bottom"/>
    </xf>
    <xf numFmtId="0" fontId="3" fillId="0" borderId="2" applyAlignment="1" pivotButton="0" quotePrefix="0" xfId="0">
      <alignment horizontal="left" vertical="bottom" wrapText="1"/>
    </xf>
    <xf numFmtId="0" fontId="3" fillId="0" borderId="2" applyAlignment="1" pivotButton="0" quotePrefix="0" xfId="0">
      <alignment vertical="top"/>
    </xf>
    <xf numFmtId="0" fontId="20" fillId="0" borderId="1" pivotButton="0" quotePrefix="0" xfId="0"/>
    <xf numFmtId="0" fontId="20" fillId="0" borderId="1" applyAlignment="1" pivotButton="0" quotePrefix="0" xfId="0">
      <alignment vertical="bottom"/>
    </xf>
    <xf numFmtId="0" fontId="20" fillId="0" borderId="1" applyAlignment="1" pivotButton="0" quotePrefix="0" xfId="0">
      <alignment vertical="bottom" wrapText="1"/>
    </xf>
    <xf numFmtId="0" fontId="20" fillId="0" borderId="1" pivotButton="0" quotePrefix="0" xfId="0"/>
    <xf numFmtId="0" fontId="119" fillId="0" borderId="1" applyAlignment="1" pivotButton="0" quotePrefix="0" xfId="0">
      <alignment vertical="center" wrapText="1"/>
    </xf>
    <xf numFmtId="0" fontId="41" fillId="0" borderId="1" applyAlignment="1" pivotButton="0" quotePrefix="0" xfId="0">
      <alignment vertical="bottom"/>
    </xf>
    <xf numFmtId="0" fontId="120" fillId="0" borderId="1" applyAlignment="1" pivotButton="0" quotePrefix="0" xfId="0">
      <alignment vertical="bottom" wrapText="1"/>
    </xf>
    <xf numFmtId="0" fontId="41" fillId="0" borderId="1" applyAlignment="1" pivotButton="0" quotePrefix="0" xfId="0">
      <alignment vertical="bottom"/>
    </xf>
    <xf numFmtId="0" fontId="94" fillId="9" borderId="1" applyAlignment="1" pivotButton="0" quotePrefix="0" xfId="0">
      <alignment horizontal="left" vertical="center"/>
    </xf>
    <xf numFmtId="0" fontId="3" fillId="19" borderId="0" applyAlignment="1" pivotButton="0" quotePrefix="0" xfId="0">
      <alignment horizontal="center" vertical="bottom" wrapText="1"/>
    </xf>
    <xf numFmtId="0" fontId="116" fillId="0" borderId="1" applyAlignment="1" pivotButton="0" quotePrefix="0" xfId="0">
      <alignment vertical="center" wrapText="1"/>
    </xf>
    <xf numFmtId="0" fontId="121" fillId="0" borderId="1" applyAlignment="1" pivotButton="0" quotePrefix="0" xfId="0">
      <alignment vertical="bottom"/>
    </xf>
    <xf numFmtId="0" fontId="41" fillId="0" borderId="1" applyAlignment="1" pivotButton="0" quotePrefix="0" xfId="0">
      <alignment wrapText="1"/>
    </xf>
    <xf numFmtId="0" fontId="114" fillId="22" borderId="1" applyAlignment="1" pivotButton="0" quotePrefix="0" xfId="0">
      <alignment vertical="center" wrapText="1"/>
    </xf>
    <xf numFmtId="0" fontId="0" fillId="0" borderId="0" pivotButton="0" quotePrefix="0" xfId="0"/>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0" fillId="0" borderId="6"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8" pivotButton="0" quotePrefix="0" xfId="0"/>
    <xf numFmtId="0" fontId="0" fillId="0" borderId="11" pivotButton="0" quotePrefix="0" xfId="0"/>
    <xf numFmtId="0" fontId="0" fillId="0" borderId="3" pivotButton="0" quotePrefix="0" xfId="0"/>
    <xf numFmtId="0" fontId="0" fillId="0" borderId="12" pivotButton="0" quotePrefix="0" xfId="0"/>
    <xf numFmtId="0" fontId="8" fillId="7" borderId="1" applyAlignment="1" pivotButton="0" quotePrefix="0" xfId="0">
      <alignment horizontal="left" vertical="top" wrapText="1"/>
    </xf>
    <xf numFmtId="0" fontId="7" fillId="8" borderId="1" applyAlignment="1" pivotButton="0" quotePrefix="0" xfId="0">
      <alignment horizontal="center" vertical="center"/>
    </xf>
    <xf numFmtId="0" fontId="0" fillId="0" borderId="13" pivotButton="0" quotePrefix="0" xfId="0"/>
    <xf numFmtId="0" fontId="7" fillId="10" borderId="1" applyAlignment="1" pivotButton="0" quotePrefix="0" xfId="0">
      <alignment horizontal="left" vertical="top" wrapText="1"/>
    </xf>
    <xf numFmtId="0" fontId="7" fillId="4" borderId="1" applyAlignment="1" pivotButton="0" quotePrefix="0" xfId="0">
      <alignment horizontal="center" vertical="center"/>
    </xf>
    <xf numFmtId="0" fontId="17" fillId="12" borderId="1" applyAlignment="1" pivotButton="0" quotePrefix="0" xfId="0">
      <alignment horizontal="center" vertical="center" wrapText="1"/>
    </xf>
    <xf numFmtId="0" fontId="7" fillId="0" borderId="1" applyAlignment="1" pivotButton="0" quotePrefix="0" xfId="0">
      <alignment horizontal="center" vertical="center"/>
    </xf>
    <xf numFmtId="0" fontId="1" fillId="13" borderId="14" applyAlignment="1" pivotButton="0" quotePrefix="0" xfId="0">
      <alignment horizontal="center" vertical="center"/>
    </xf>
    <xf numFmtId="0" fontId="0" fillId="0" borderId="14" pivotButton="0" quotePrefix="0" xfId="0"/>
    <xf numFmtId="0" fontId="50" fillId="20" borderId="1" applyAlignment="1" pivotButton="0" quotePrefix="0" xfId="0">
      <alignment vertical="bottom"/>
    </xf>
    <xf numFmtId="0" fontId="3" fillId="0" borderId="11" applyAlignment="1" pivotButton="0" quotePrefix="0" xfId="0">
      <alignment horizontal="center" vertical="center"/>
    </xf>
    <xf numFmtId="0" fontId="0" fillId="0" borderId="1" applyAlignment="1" pivotButton="0" quotePrefix="0" xfId="0">
      <alignment vertical="bottom" wrapText="1"/>
    </xf>
    <xf numFmtId="0" fontId="11" fillId="5" borderId="1" applyAlignment="1" pivotButton="0" quotePrefix="0" xfId="0">
      <alignment vertical="bottom"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36" fillId="23" borderId="0" applyAlignment="1" pivotButton="0" quotePrefix="0" xfId="0">
      <alignment horizontal="left" vertical="center" wrapText="1"/>
    </xf>
    <xf numFmtId="0" fontId="0" fillId="24" borderId="0" applyAlignment="1" pivotButton="0" quotePrefix="0" xfId="0">
      <alignment horizontal="left" vertical="center" wrapText="1"/>
    </xf>
    <xf numFmtId="0" fontId="0" fillId="25" borderId="0" applyAlignment="1" pivotButton="0" quotePrefix="0" xfId="0">
      <alignment horizontal="left" vertical="center" wrapText="1"/>
    </xf>
    <xf numFmtId="0" fontId="0" fillId="26" borderId="0" applyAlignment="1" pivotButton="0" quotePrefix="0" xfId="0">
      <alignment horizontal="left" vertical="center" wrapText="1"/>
    </xf>
    <xf numFmtId="0" fontId="30" fillId="0" borderId="1" applyAlignment="1" pivotButton="0" quotePrefix="0" xfId="0">
      <alignment horizontal="left" vertical="top" wrapText="1"/>
    </xf>
    <xf numFmtId="0" fontId="29" fillId="0" borderId="1" applyAlignment="1" pivotButton="0" quotePrefix="0" xfId="0">
      <alignment horizontal="left" vertical="top" wrapText="1"/>
    </xf>
    <xf numFmtId="0" fontId="36" fillId="23" borderId="0" applyAlignment="1" pivotButton="0" quotePrefix="0" xfId="0">
      <alignment horizontal="left" vertical="top" wrapText="1"/>
    </xf>
    <xf numFmtId="0" fontId="36" fillId="23" borderId="0" pivotButton="0" quotePrefix="0" xfId="0"/>
    <xf numFmtId="0" fontId="0" fillId="24" borderId="0" applyAlignment="1" pivotButton="0" quotePrefix="0" xfId="0">
      <alignment horizontal="left" vertical="top" wrapText="1"/>
    </xf>
    <xf numFmtId="0" fontId="0" fillId="25" borderId="0" applyAlignment="1" pivotButton="0" quotePrefix="0" xfId="0">
      <alignment horizontal="left" vertical="top" wrapText="1"/>
    </xf>
    <xf numFmtId="0" fontId="3" fillId="18" borderId="1" applyAlignment="1" pivotButton="0" quotePrefix="0" xfId="0">
      <alignment vertical="top" wrapText="1"/>
    </xf>
    <xf numFmtId="0" fontId="39" fillId="0" borderId="1" applyAlignment="1" pivotButton="0" quotePrefix="0" xfId="0">
      <alignment horizontal="left" vertical="top" wrapText="1"/>
    </xf>
    <xf numFmtId="0" fontId="41" fillId="0" borderId="3" applyAlignment="1" pivotButton="0" quotePrefix="0" xfId="0">
      <alignment horizontal="left" vertical="top" wrapText="1"/>
    </xf>
    <xf numFmtId="0" fontId="41" fillId="0" borderId="11" applyAlignment="1" pivotButton="0" quotePrefix="0" xfId="0">
      <alignment horizontal="left" vertical="top" wrapText="1"/>
    </xf>
    <xf numFmtId="0" fontId="0" fillId="24" borderId="0" pivotButton="0" quotePrefix="0" xfId="0"/>
    <xf numFmtId="0" fontId="0" fillId="25" borderId="0" pivotButton="0" quotePrefix="0" xfId="0"/>
    <xf numFmtId="0" fontId="0" fillId="26" borderId="0" pivotButton="0" quotePrefix="0" xfId="0"/>
    <xf numFmtId="0" fontId="44" fillId="0" borderId="1" applyAlignment="1" pivotButton="0" quotePrefix="0" xfId="0">
      <alignment vertical="center" wrapText="1"/>
    </xf>
    <xf numFmtId="0" fontId="36" fillId="23" borderId="0" applyAlignment="1" pivotButton="0" quotePrefix="0" xfId="0">
      <alignment vertical="center" wrapText="1"/>
    </xf>
    <xf numFmtId="0" fontId="3" fillId="25" borderId="0" applyAlignment="1" pivotButton="0" quotePrefix="0" xfId="0">
      <alignment vertical="center"/>
    </xf>
    <xf numFmtId="0" fontId="3" fillId="24" borderId="0" applyAlignment="1" pivotButton="0" quotePrefix="0" xfId="0">
      <alignment vertical="center"/>
    </xf>
    <xf numFmtId="0" fontId="7" fillId="24" borderId="0" applyAlignment="1" pivotButton="0" quotePrefix="0" xfId="0">
      <alignment vertical="center"/>
    </xf>
    <xf numFmtId="0" fontId="7" fillId="25" borderId="0" applyAlignment="1" pivotButton="0" quotePrefix="0" xfId="0">
      <alignment vertical="center"/>
    </xf>
    <xf numFmtId="0" fontId="65" fillId="10" borderId="1" applyAlignment="1" pivotButton="0" quotePrefix="0" xfId="0">
      <alignment horizontal="left" vertical="center" wrapText="1"/>
    </xf>
    <xf numFmtId="0" fontId="3" fillId="0" borderId="3" applyAlignment="1" pivotButton="0" quotePrefix="0" xfId="0">
      <alignment horizontal="left" vertical="center" wrapText="1"/>
    </xf>
    <xf numFmtId="0" fontId="3" fillId="0" borderId="11" applyAlignment="1" pivotButton="0" quotePrefix="0" xfId="0">
      <alignment horizontal="left" vertical="center" wrapText="1"/>
    </xf>
    <xf numFmtId="0" fontId="45" fillId="0" borderId="11" applyAlignment="1" pivotButton="0" quotePrefix="0" xfId="0">
      <alignment horizontal="left" vertical="center" wrapText="1"/>
    </xf>
    <xf numFmtId="0" fontId="53" fillId="0" borderId="11" applyAlignment="1" pivotButton="0" quotePrefix="0" xfId="0">
      <alignment vertical="center" wrapText="1"/>
    </xf>
    <xf numFmtId="0" fontId="37" fillId="2" borderId="1" applyAlignment="1" pivotButton="0" quotePrefix="0" xfId="0">
      <alignment vertical="center" wrapText="1"/>
    </xf>
    <xf numFmtId="0" fontId="3" fillId="18" borderId="1" applyAlignment="1" pivotButton="0" quotePrefix="0" xfId="0">
      <alignment vertical="center" wrapText="1"/>
    </xf>
    <xf numFmtId="0" fontId="54" fillId="0" borderId="1" applyAlignment="1" pivotButton="0" quotePrefix="0" xfId="0">
      <alignment vertical="center" wrapText="1"/>
    </xf>
    <xf numFmtId="0" fontId="57" fillId="0" borderId="1" applyAlignment="1" pivotButton="0" quotePrefix="0" xfId="0">
      <alignment horizontal="left" vertical="top" wrapText="1"/>
    </xf>
    <xf numFmtId="0" fontId="58" fillId="0" borderId="1" applyAlignment="1" pivotButton="0" quotePrefix="0" xfId="0">
      <alignment wrapText="1"/>
    </xf>
    <xf numFmtId="0" fontId="59" fillId="0" borderId="1" applyAlignment="1" pivotButton="0" quotePrefix="0" xfId="0">
      <alignment wrapText="1"/>
    </xf>
    <xf numFmtId="0" fontId="62" fillId="0" borderId="1" applyAlignment="1" pivotButton="0" quotePrefix="0" xfId="0">
      <alignment vertical="center" wrapText="1"/>
    </xf>
    <xf numFmtId="0" fontId="64" fillId="0" borderId="1" applyAlignment="1" pivotButton="0" quotePrefix="0" xfId="0">
      <alignment vertical="center" wrapText="1"/>
    </xf>
    <xf numFmtId="0" fontId="67" fillId="0" borderId="11" applyAlignment="1" pivotButton="0" quotePrefix="0" xfId="0">
      <alignment vertical="center" wrapText="1"/>
    </xf>
    <xf numFmtId="0" fontId="68" fillId="0" borderId="1" applyAlignment="1" pivotButton="0" quotePrefix="0" xfId="0">
      <alignment vertical="center" wrapText="1"/>
    </xf>
    <xf numFmtId="0" fontId="69" fillId="0" borderId="1" applyAlignment="1" pivotButton="0" quotePrefix="0" xfId="0">
      <alignment vertical="center" wrapText="1"/>
    </xf>
    <xf numFmtId="0" fontId="36" fillId="23" borderId="0" applyAlignment="1" pivotButton="0" quotePrefix="0" xfId="0">
      <alignment vertical="center"/>
    </xf>
    <xf numFmtId="0" fontId="20" fillId="24" borderId="0" applyAlignment="1" pivotButton="0" quotePrefix="0" xfId="0">
      <alignment vertical="center"/>
    </xf>
    <xf numFmtId="0" fontId="20" fillId="25" borderId="0" applyAlignment="1" pivotButton="0" quotePrefix="0" xfId="0">
      <alignment vertical="center"/>
    </xf>
    <xf numFmtId="0" fontId="86" fillId="2" borderId="1" applyAlignment="1" pivotButton="0" quotePrefix="0" xfId="0">
      <alignment vertical="center" wrapText="1"/>
    </xf>
    <xf numFmtId="0" fontId="81" fillId="0" borderId="1" applyAlignment="1" pivotButton="0" quotePrefix="0" xfId="0">
      <alignment vertical="center" wrapText="1"/>
    </xf>
    <xf numFmtId="0" fontId="6" fillId="19" borderId="13" applyAlignment="1" pivotButton="0" quotePrefix="0" xfId="0">
      <alignment horizontal="center" vertical="center"/>
    </xf>
    <xf numFmtId="0" fontId="93" fillId="19" borderId="13" applyAlignment="1" pivotButton="0" quotePrefix="0" xfId="0">
      <alignment horizontal="center" vertical="center"/>
    </xf>
    <xf numFmtId="0" fontId="105" fillId="0" borderId="1" applyAlignment="1" pivotButton="0" quotePrefix="0" xfId="0">
      <alignment vertical="center" wrapText="1"/>
    </xf>
    <xf numFmtId="0" fontId="114" fillId="0" borderId="1" applyAlignment="1" pivotButton="0" quotePrefix="0" xfId="0">
      <alignment vertical="center" wrapText="1"/>
    </xf>
    <xf numFmtId="0" fontId="113" fillId="0" borderId="1" applyAlignment="1" pivotButton="0" quotePrefix="0" xfId="0">
      <alignment vertical="center" wrapText="1"/>
    </xf>
    <xf numFmtId="0" fontId="118" fillId="0" borderId="1" applyAlignment="1" pivotButton="0" quotePrefix="0" xfId="0">
      <alignment vertical="bottom" wrapText="1"/>
    </xf>
    <xf numFmtId="0" fontId="3" fillId="0" borderId="1" applyAlignment="1" pivotButton="0" quotePrefix="0" xfId="0">
      <alignment vertical="top"/>
    </xf>
    <xf numFmtId="0" fontId="0" fillId="26" borderId="0" applyAlignment="1" pivotButton="0" quotePrefix="0" xfId="0">
      <alignment horizontal="left" vertical="top" wrapText="1"/>
    </xf>
    <xf numFmtId="0" fontId="7" fillId="26" borderId="0" applyAlignment="1" pivotButton="0" quotePrefix="0" xfId="0">
      <alignment vertical="center"/>
    </xf>
    <xf numFmtId="0" fontId="3" fillId="26" borderId="0" applyAlignment="1" pivotButton="0" quotePrefix="0" xfId="0">
      <alignment vertical="center"/>
    </xf>
    <xf numFmtId="0" fontId="20" fillId="26" borderId="0" applyAlignment="1" pivotButton="0" quotePrefix="0" xfId="0">
      <alignment vertical="center"/>
    </xf>
  </cellXfs>
  <cellStyles count="1">
    <cellStyle name="Normal" xfId="0" builtinId="0"/>
  </cellStyles>
  <dxfs count="7">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FF0000"/>
          <bgColor rgb="FFFF0000"/>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CCCCCC"/>
          <bgColor rgb="FFCC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omments/comment1.xml><?xml version="1.0" encoding="utf-8"?>
<comments xmlns="http://schemas.openxmlformats.org/spreadsheetml/2006/main">
  <authors>
    <author>tc={bd937b5a-6ea5-4562-9881-1649839b8e31}</author>
    <author>tc={88d7972a-48e8-46ec-8574-87a05c07a1e3}</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New tabs will need to be added.
</t>
      </text>
    </comment>
    <comment ref="A5" authorId="1" shapeId="0">
      <text>
        <t xml:space="preserve">[Threaded comment]
 Your version of Excel allows you to read this threaded comment; however, any edits to it will get removed if the file is opened in a newer version of Excel. Learn more: https://go.microsoft.com/fwlink/?linkid=870924
Comment:
	Jenkins links will need to be updated with this github link: https://github.com/dimagi/commcare-android/releases/
Reply:
	Updated it wherever it was required in the sheet.
</t>
      </text>
    </comment>
  </commentList>
</comments>
</file>

<file path=xl/comments/comment2.xml><?xml version="1.0" encoding="utf-8"?>
<comments xmlns="http://schemas.openxmlformats.org/spreadsheetml/2006/main">
  <authors>
    <author>tc={75490bba-cf71-43c2-ad0a-6bd3d67cb7d5}</author>
  </authors>
  <commentList>
    <comment ref="B5" authorId="0" shapeId="0">
      <text>
        <t xml:space="preserve">[Threaded comment]
 Your version of Excel allows you to read this threaded comment; however, any edits to it will get removed if the file is opened in a newer version of Excel. Learn more: https://go.microsoft.com/fwlink/?linkid=870924
Comment:
	@nsaxena@dimagi.com the min SDK is now 6.0, we should update this accordingly
Assigned to nsaxena@dimagi.com
</t>
      </text>
    </comment>
  </commentList>
</comments>
</file>

<file path=xl/comments/comment3.xml><?xml version="1.0" encoding="utf-8"?>
<comments xmlns="http://schemas.openxmlformats.org/spreadsheetml/2006/main">
  <authors>
    <author>tc={47fd6c54-0f1b-4144-bdfa-c7f02f7dcde7}</author>
  </authors>
  <commentList>
    <comment ref="C14" authorId="0" shapeId="0">
      <text>
        <t xml:space="preserve">[Threaded comment]
 Your version of Excel allows you to read this threaded comment; however, any edits to it will get removed if the file is opened in a newer version of Excel. Learn more: https://go.microsoft.com/fwlink/?linkid=870924
Comment:
	Does this actually review the version in test?
</t>
      </text>
    </comment>
  </commentList>
</comments>
</file>

<file path=xl/comments/comment4.xml><?xml version="1.0" encoding="utf-8"?>
<comments xmlns="http://schemas.openxmlformats.org/spreadsheetml/2006/main">
  <authors>
    <author>tc={c06c73d0-2122-47d8-ad55-37d7662cf729}</author>
  </authors>
  <commentList>
    <comment ref="B3" authorId="0" shapeId="0">
      <text>
        <t xml:space="preserve">[Threaded comment]
 Your version of Excel allows you to read this threaded comment; however, any edits to it will get removed if the file is opened in a newer version of Excel. Learn more: https://go.microsoft.com/fwlink/?linkid=870924
Comment:
	@btalbot@dimagi.com  - FYI First point updated - result of my discussion with Shubham yesterday (can talk through more about it on Monday)
Quoting Shubham: "nothing really need to change (aka version updates) except the fact that you are updating the apk to the CommCare version in test. Changing the CommCare version setting to 2.50(or the version in test) is only required in very few cases when HQ only show the UI for a feature added in the new CommCare version when you target the new CC version in the app settings
For most test cases, targetting CommCare version to 2.50 is unnecessary and QA might be overdoing it more as a process rather than a necessity"
Reply:
	Very curious to talk though this. I'm highly in favor of finding ways to simplify this tab.
Reply:
	Happy that I was finally able to clarify your questions - will clear out this tab of all the non-required data by the end of this week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38100</colOff>
      <row>0</row>
      <rowOff>190500</rowOff>
    </from>
    <ext cx="2143125" cy="1009650"/>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6</col>
      <colOff>95250</colOff>
      <row>6</row>
      <rowOff>104775</rowOff>
    </from>
    <ext cx="4610100" cy="5391150"/>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mmcarehq.org/a/qateam/dashboard/project/" TargetMode="External" Id="rId1"/><Relationship Type="http://schemas.openxmlformats.org/officeDocument/2006/relationships/hyperlink" Target="https://dimagi-dev.atlassian.net/browse/QA-3848" TargetMode="External" Id="rId2"/><Relationship Type="http://schemas.openxmlformats.org/officeDocument/2006/relationships/hyperlink" Target="https://www.commcarehq.org/a/qateam/apps/view/cdfa6c85eb594b23b0c08729cd2beff1/" TargetMode="External" Id="rId3"/><Relationship Type="http://schemas.openxmlformats.org/officeDocument/2006/relationships/hyperlink" Target="https://www.commcarehq.org/a/qateam/apps/view/7e8e7e8857f7466495888a37952e7ad0/" TargetMode="External" Id="rId4"/><Relationship Type="http://schemas.openxmlformats.org/officeDocument/2006/relationships/hyperlink" Target="https://www.commcarehq.org/a/qateam/apps/view/4df9b7f7e66740a2bd9e02371af832b1/" TargetMode="External" Id="rId5"/><Relationship Type="http://schemas.openxmlformats.org/officeDocument/2006/relationships/hyperlink" Target="https://www.commcarehq.org/a/qateam/apps/view/333c6200370448ee8748944312c1d7d5/" TargetMode="External" Id="rId6"/><Relationship Type="http://schemas.openxmlformats.org/officeDocument/2006/relationships/hyperlink" Target="https://www.commcarehq.org/a/qateam/apps/view/825e17ec246c487ab2d51c6696463898/" TargetMode="External" Id="rId7"/><Relationship Type="http://schemas.openxmlformats.org/officeDocument/2006/relationships/hyperlink" Target="https://www.commcarehq.org/a/qateam/apps/view/2b3f11fa7e4f4d1a9d94aa9a93272e80/" TargetMode="External" Id="rId8"/><Relationship Type="http://schemas.openxmlformats.org/officeDocument/2006/relationships/hyperlink" Target="https://www.commcarehq.org/a/qateam/apps/view/4a1189cb56c44277906e9fc058838ebc/" TargetMode="External" Id="rId9"/><Relationship Type="http://schemas.openxmlformats.org/officeDocument/2006/relationships/hyperlink" Target="https://www.commcarehq.org/a/qateam/apps/view/02a769c498fa428f89978b61e2846317/" TargetMode="External" Id="rId10"/><Relationship Type="http://schemas.openxmlformats.org/officeDocument/2006/relationships/hyperlink" Target="https://www.commcarehq.org/a/qateam/apps/view/0d7b77064440473a859fd19174806992/" TargetMode="External" Id="rId11"/><Relationship Type="http://schemas.openxmlformats.org/officeDocument/2006/relationships/hyperlink" Target="https://www.commcarehq.org/a/qateam/apps/view/1abba0dead4daede49abc56c04e56ae0/" TargetMode="External" Id="rId12"/><Relationship Type="http://schemas.openxmlformats.org/officeDocument/2006/relationships/hyperlink" Target="https://www.commcarehq.org/a/qateam/apps/view/ca82bb0c5cc043a781d96437ee83944b/releases/" TargetMode="External" Id="rId13"/><Relationship Type="http://schemas.openxmlformats.org/officeDocument/2006/relationships/hyperlink" Target="https://www.commcarehq.org/a/rate-limited/apps/view/35589b21ffde2cd1e7be968088acd620/releases/" TargetMode="External" Id="rId14"/><Relationship Type="http://schemas.openxmlformats.org/officeDocument/2006/relationships/hyperlink" Target="https://www.commcarehq.org/a/qateam/apps/view/782d45f72add02307b2d4c3ede87a99d/releases/" TargetMode="External" Id="rId15"/><Relationship Type="http://schemas.openxmlformats.org/officeDocument/2006/relationships/hyperlink" Target="https://www.commcarehq.org/a/qateam/apps/view/a87e38752a0743a78b254afbd1876405/" TargetMode="External" Id="rId16"/><Relationship Type="http://schemas.openxmlformats.org/officeDocument/2006/relationships/hyperlink" Target="https://www.commcarehq.org/a/qateam/apps/view/95ed9b8953cbeb7ec9b02df127496d8b/" TargetMode="External" Id="rId17"/><Relationship Type="http://schemas.openxmlformats.org/officeDocument/2006/relationships/hyperlink" Target="https://www.commcarehq.org/a/qateam/apps/view/5d433764b62d29e47e776407a3cbd742/" TargetMode="External" Id="rId18"/><Relationship Type="http://schemas.openxmlformats.org/officeDocument/2006/relationships/hyperlink" Target="https://www.commcarehq.org/a/qateam/apps/view/7d825cb288674ef9acd9950a7782f8d6/" TargetMode="External" Id="rId19"/><Relationship Type="http://schemas.openxmlformats.org/officeDocument/2006/relationships/hyperlink" Target="https://www.commcarehq.org/a/qateam/apps/view/9348a6c0baa5b98d1082a8e94048697a/" TargetMode="External" Id="rId20"/><Relationship Type="http://schemas.openxmlformats.org/officeDocument/2006/relationships/hyperlink" Target="https://www.commcarehq.org/a/qateam/apps/view/c7299f4b31f97ae644923885ea7e0b6a/" TargetMode="External" Id="rId21"/><Relationship Type="http://schemas.openxmlformats.org/officeDocument/2006/relationships/hyperlink" Target="https://www.commcarehq.org/a/sansar/apps/view/e45245362793f25c9692791c58d10b15/" TargetMode="External" Id="rId22"/><Relationship Type="http://schemas.openxmlformats.org/officeDocument/2006/relationships/hyperlink" Target="https://www.commcarehq.org/a/qateam/apps/view/935044327e1aeb419a73d91037486357/releases/" TargetMode="External" Id="rId23"/><Relationship Type="http://schemas.openxmlformats.org/officeDocument/2006/relationships/hyperlink" Target="https://www.commcarehq.org/a/qateam/apps/view/633b6c82c4b044a1b44964f9dc0e3d2d/module/14dc61ff66974f61a8bc5c14f757540c/" TargetMode="External" Id="rId24"/><Relationship Type="http://schemas.openxmlformats.org/officeDocument/2006/relationships/drawing" Target="/xl/drawings/drawing1.xml" Id="rId2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play.google.com/apps/testing/org.commcare.dalvik" TargetMode="External" Id="rId1"/></Relationships>
</file>

<file path=xl/worksheets/_rels/sheet3.xml.rels><Relationships xmlns="http://schemas.openxmlformats.org/package/2006/relationships"><Relationship Type="http://schemas.openxmlformats.org/officeDocument/2006/relationships/hyperlink" Target="https://app-live.browserstack.com/" TargetMode="External" Id="rId1"/><Relationship Type="http://schemas.openxmlformats.org/officeDocument/2006/relationships/hyperlink" Target="https://confluence.dimagi.com/display/MD/QA+using+Browserstack" TargetMode="External" Id="rId2"/><Relationship Type="http://schemas.openxmlformats.org/officeDocument/2006/relationships/hyperlink" Target="https://app-live.browserstack.com/" TargetMode="External" Id="rId3"/><Relationship Type="http://schemas.openxmlformats.org/officeDocument/2006/relationships/hyperlink" Target="https://www.commcarehq.org/a/qateam/apps/view/cdfa6c85eb594b23b0c08729cd2beff1/" TargetMode="External" Id="rId4"/><Relationship Type="http://schemas.openxmlformats.org/officeDocument/2006/relationships/hyperlink" Target="https://app-live.browserstack.com/" TargetMode="External" Id="rId5"/><Relationship Type="http://schemas.openxmlformats.org/officeDocument/2006/relationships/hyperlink" Target="https://www.commcarehq.org/a/qateam/apps/view/cdfa6c85eb594b23b0c08729cd2beff1/" TargetMode="External" Id="rId6"/><Relationship Type="http://schemas.openxmlformats.org/officeDocument/2006/relationships/hyperlink" Target="https://play.google.com/apps/testing/org.commcare.dalvik" TargetMode="External" Id="rId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developer.android.com/studio" TargetMode="External" Id="rId1"/><Relationship Type="http://schemas.openxmlformats.org/officeDocument/2006/relationships/hyperlink" Target="https://developer.android.com/studio" TargetMode="External" Id="rId2"/><Relationship Type="http://schemas.openxmlformats.org/officeDocument/2006/relationships/hyperlink" Target="https://www.commcarehq.org/a/qateam/apps/view/cdfa6c85eb594b23b0c08729cd2beff1/" TargetMode="External" Id="rId3"/><Relationship Type="http://schemas.openxmlformats.org/officeDocument/2006/relationships/hyperlink" Target="https://github.com/dimagi/commcare-android/releases" TargetMode="External" Id="rId4"/><Relationship Type="http://schemas.openxmlformats.org/officeDocument/2006/relationships/hyperlink" Target="https://www.commcarehq.org/a/qateam/apps/view/cdfa6c85eb594b23b0c08729cd2beff1/" TargetMode="External" Id="rId5"/></Relationships>
</file>

<file path=xl/worksheets/_rels/sheet7.xml.rels><Relationships xmlns="http://schemas.openxmlformats.org/package/2006/relationships"><Relationship Type="http://schemas.openxmlformats.org/officeDocument/2006/relationships/hyperlink" Target="https://www.commcarehq.org/a/qateam/apps/view/7e8e7e8857f7466495888a37952e7ad0/" TargetMode="External" Id="rId1"/><Relationship Type="http://schemas.openxmlformats.org/officeDocument/2006/relationships/hyperlink" Target="https://dimagi-dev.atlassian.net/browse/QA-1708" TargetMode="External" Id="rId2"/></Relationships>
</file>

<file path=xl/worksheets/_rels/sheet8.xml.rels><Relationships xmlns="http://schemas.openxmlformats.org/package/2006/relationships"><Relationship Type="http://schemas.openxmlformats.org/officeDocument/2006/relationships/hyperlink" Target="https://github.com/dimagi/commcare-android/releases" TargetMode="External" Id="rId1"/><Relationship Type="http://schemas.openxmlformats.org/officeDocument/2006/relationships/hyperlink" Target="https://drive.google.com/drive/folders/0BwsmvRdU7iq6bS1KU1l3WnduSjg" TargetMode="External" Id="rId2"/><Relationship Type="http://schemas.openxmlformats.org/officeDocument/2006/relationships/hyperlink" Target="https://github.com/dimagi/commcare-android/releases" TargetMode="External" Id="rId3"/></Relationships>
</file>

<file path=xl/worksheets/_rels/sheet11.xml.rels><Relationships xmlns="http://schemas.openxmlformats.org/package/2006/relationships"><Relationship Type="http://schemas.openxmlformats.org/officeDocument/2006/relationships/hyperlink" Target="https://www.commcarehq.org/a/qateam/apps/view/cdfa6c85eb594b23b0c08729cd2beff1/" TargetMode="External" Id="rId1"/></Relationships>
</file>

<file path=xl/worksheets/_rels/sheet12.xml.rels><Relationships xmlns="http://schemas.openxmlformats.org/package/2006/relationships"><Relationship Type="http://schemas.openxmlformats.org/officeDocument/2006/relationships/hyperlink" Target="https://www.commcarehq.org/a/qateam/apps/view/4df9b7f7e66740a2bd9e02371af832b1/" TargetMode="External" Id="rId1"/><Relationship Type="http://schemas.openxmlformats.org/officeDocument/2006/relationships/hyperlink" Target="https://www.commcarehq.org/a/qateam/apps/view/c7299f4b31f97ae644923885ea7e0b6a/releases/" TargetMode="External" Id="rId2"/><Relationship Type="http://schemas.openxmlformats.org/officeDocument/2006/relationships/hyperlink" Target="https://drive.google.com/drive/u/0/folders/1BRdiDpmCz5k6YJB0PLeVOeaTZmjpUTIZ" TargetMode="External" Id="rId3"/><Relationship Type="http://schemas.openxmlformats.org/officeDocument/2006/relationships/hyperlink" Target="https://www.commcarehq.org/a/qateam/apps/view/4df9b7f7e66740a2bd9e02371af832b1/module/244f0a43dd2f49bf9fe0250e198d75a3/" TargetMode="External" Id="rId4"/><Relationship Type="http://schemas.openxmlformats.org/officeDocument/2006/relationships/hyperlink" Target="https://www.commcarehq.org/hq/flags/edit/optional-media/?__hstc=240960668.6c1b8381551bfc4be27581c7397fc070.1571028693368.1600326708995.1600337910959.225&amp;__hssc=240960668.1.1600337910959&amp;__hsfp=4253523528" TargetMode="External" Id="rId5"/><Relationship Type="http://schemas.openxmlformats.org/officeDocument/2006/relationships/hyperlink" Target="https://www.commcarehq.org/a/qateam/apps/view/9348a6c0baa5b98d1082a8e94048697a/releases/" TargetMode="External" Id="rId6"/></Relationships>
</file>

<file path=xl/worksheets/_rels/sheet14.xml.rels><Relationships xmlns="http://schemas.openxmlformats.org/package/2006/relationships"><Relationship Type="http://schemas.openxmlformats.org/officeDocument/2006/relationships/hyperlink" Target="https://www.commcarehq.org/a/qateam/apps/view/cdfa6c85eb594b23b0c08729cd2beff1/" TargetMode="External" Id="rId1"/></Relationships>
</file>

<file path=xl/worksheets/_rels/sheet15.xml.rels><Relationships xmlns="http://schemas.openxmlformats.org/package/2006/relationships"><Relationship Type="http://schemas.openxmlformats.org/officeDocument/2006/relationships/hyperlink" Target="https://www.commcarehq.org/a/qateam/apps/view/633b6c82c4b044a1b44964f9dc0e3d2d/" TargetMode="External" Id="rId1"/></Relationships>
</file>

<file path=xl/worksheets/_rels/sheet17.xml.rels><Relationships xmlns="http://schemas.openxmlformats.org/package/2006/relationships"><Relationship Type="http://schemas.openxmlformats.org/officeDocument/2006/relationships/hyperlink" Target="https://www.commcarehq.org/a/casesearch/apps/view/414ea62a6610470eb8582a13954515ea/" TargetMode="External" Id="rId1"/><Relationship Type="http://schemas.openxmlformats.org/officeDocument/2006/relationships/hyperlink" Target="https://www.the-qrcode-generator.com/" TargetMode="External" Id="rId2"/></Relationships>
</file>

<file path=xl/worksheets/_rels/sheet18.xml.rels><Relationships xmlns="http://schemas.openxmlformats.org/package/2006/relationships"><Relationship Type="http://schemas.openxmlformats.org/officeDocument/2006/relationships/hyperlink" Target="https://www.commcarehq.org/a/qateam/apps/view/825e17ec246c487ab2d51c6696463898/" TargetMode="External" Id="rId1"/></Relationships>
</file>

<file path=xl/worksheets/_rels/sheet19.xml.rels><Relationships xmlns="http://schemas.openxmlformats.org/package/2006/relationships"><Relationship Type="http://schemas.openxmlformats.org/officeDocument/2006/relationships/hyperlink" Target="https://www.commcarehq.org/a/qateam/apps/view/2b3f11fa7e4f4d1a9d94aa9a93272e80/" TargetMode="External" Id="rId1"/></Relationships>
</file>

<file path=xl/worksheets/_rels/sheet20.xml.rels><Relationships xmlns="http://schemas.openxmlformats.org/package/2006/relationships"><Relationship Type="http://schemas.openxmlformats.org/officeDocument/2006/relationships/hyperlink" Target="https://confluence.dimagi.com/pages/viewpage.action?spaceKey=ICDS&amp;title=Prompted+Updates" TargetMode="External" Id="rId1"/><Relationship Type="http://schemas.openxmlformats.org/officeDocument/2006/relationships/hyperlink" Target="https://www.commcarehq.org/a/qateam/apps/view/cdfa6c85eb594b23b0c08729cd2beff1/" TargetMode="External" Id="rId2"/><Relationship Type="http://schemas.openxmlformats.org/officeDocument/2006/relationships/hyperlink" Target="https://www.commcarehq.org/a/qateam/apps/view/cdfa6c85eb594b23b0c08729cd2beff1/settings/" TargetMode="External" Id="rId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22.xml.rels><Relationships xmlns="http://schemas.openxmlformats.org/package/2006/relationships"><Relationship Type="http://schemas.openxmlformats.org/officeDocument/2006/relationships/hyperlink" Target="https://www.commcarehq.org/a/qateam/apps/view/02a769c498fa428f89978b61e2846317/" TargetMode="External" Id="rId1"/></Relationships>
</file>

<file path=xl/worksheets/_rels/sheet24.xml.rels><Relationships xmlns="http://schemas.openxmlformats.org/package/2006/relationships"><Relationship Type="http://schemas.openxmlformats.org/officeDocument/2006/relationships/hyperlink" Target="https://www.commcarehq.org/a/sansar/apps/view/e45245362793f25c9692791c58d10b15/" TargetMode="External" Id="rId1"/><Relationship Type="http://schemas.openxmlformats.org/officeDocument/2006/relationships/hyperlink" Target="https://www.commcarehq.org/a/sansar/apps/view/e45245362793f25c9692791c58d10b15/" TargetMode="External" Id="rId2"/><Relationship Type="http://schemas.openxmlformats.org/officeDocument/2006/relationships/hyperlink" Target="https://jenkins.dimagi.com/job/Mobile%20API%20Testing%20App/" TargetMode="External" Id="rId3"/></Relationships>
</file>

<file path=xl/worksheets/_rels/sheet25.xml.rels><Relationships xmlns="http://schemas.openxmlformats.org/package/2006/relationships"><Relationship Type="http://schemas.openxmlformats.org/officeDocument/2006/relationships/hyperlink" Target="https://www.commcarehq.org/a/qateam/dashboard/project/" TargetMode="External" Id="rId1"/><Relationship Type="http://schemas.openxmlformats.org/officeDocument/2006/relationships/drawing" Target="/xl/drawings/drawing2.xml" Id="rId2"/></Relationships>
</file>

<file path=xl/worksheets/_rels/sheet26.xml.rels><Relationships xmlns="http://schemas.openxmlformats.org/package/2006/relationships"><Relationship Type="http://schemas.openxmlformats.org/officeDocument/2006/relationships/hyperlink" Target="https://jenkins.dimagi.com/job/commcare-android-2.45/lastSuccessfulBuild/artifact/commcare-android/app/build/outputs/apk/commcare/release/app-commcare-release.apk" TargetMode="External" Id="rId1"/><Relationship Type="http://schemas.openxmlformats.org/officeDocument/2006/relationships/hyperlink" Target="https://dimagi-dev.atlassian.net/browse/QA-569" TargetMode="External" Id="rId2"/><Relationship Type="http://schemas.openxmlformats.org/officeDocument/2006/relationships/hyperlink" Target="https://www.commcarehq.org/a/qateam/apps/view/424db1b7c64a94e3e4cdc03c6cc61038/" TargetMode="External" Id="rId3"/><Relationship Type="http://schemas.openxmlformats.org/officeDocument/2006/relationships/hyperlink" Target="https://www.commcarehq.org/a/qateam/apps/view/424db1b7c64a94e3e4cdc03c6cc61038/" TargetMode="External" Id="rId4"/><Relationship Type="http://schemas.openxmlformats.org/officeDocument/2006/relationships/hyperlink" Target="https://www.commcarehq.org/a/qateam/apps/view/424db1b7c64a94e3e4cdc03c6cc61038/" TargetMode="External" Id="rId5"/><Relationship Type="http://schemas.openxmlformats.org/officeDocument/2006/relationships/hyperlink" Target="https://www.commcarehq.org/a/qateam/apps/view/4fc92eeed6032a7c650a10f6627f6cea/releases/" TargetMode="External" Id="rId6"/><Relationship Type="http://schemas.openxmlformats.org/officeDocument/2006/relationships/hyperlink" Target="https://www.commcarehq.org/a/let-sdoit/apps/view/07f49277d22d6c77ecc2df0489a80aae/releases/" TargetMode="External" Id="rId7"/><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27.xml.rels><Relationships xmlns="http://schemas.openxmlformats.org/package/2006/relationships"><Relationship Type="http://schemas.openxmlformats.org/officeDocument/2006/relationships/hyperlink" Target="https://www.commcarehq.org/a/qateam/dashboard/project/" TargetMode="External" Id="rId1"/><Relationship Type="http://schemas.openxmlformats.org/officeDocument/2006/relationships/hyperlink" Target="https://www.commcarehq.org/a/qateam/apps/view/c49c34a1d74297ecb6ecef7a7c5d3f88/" TargetMode="External" Id="rId2"/><Relationship Type="http://schemas.openxmlformats.org/officeDocument/2006/relationships/hyperlink" Target="https://dimagi-dev.atlassian.net/browse/QA-3847" TargetMode="External" Id="rId3"/><Relationship Type="http://schemas.openxmlformats.org/officeDocument/2006/relationships/hyperlink" Target="https://www.commcarehq.org/a/qateam/apps/view/8fc02611dd694001a147749a6ea558c0/" TargetMode="External" Id="rId4"/><Relationship Type="http://schemas.openxmlformats.org/officeDocument/2006/relationships/hyperlink" Target="https://www.commcarehq.org/a/qateam/apps/view/df1c05ddfb640f32c9d453f780442ce4/releases/" TargetMode="External" Id="rId5"/><Relationship Type="http://schemas.openxmlformats.org/officeDocument/2006/relationships/hyperlink" Target="https://www.commcarehq.org/admin/ota/mobilerecoverymeasure/15/change/" TargetMode="External" Id="rId6"/><Relationship Type="http://schemas.openxmlformats.org/officeDocument/2006/relationships/hyperlink" Target="https://github.com/dimagi/commcare-android/releases/" TargetMode="External" Id="rId7"/><Relationship Type="http://schemas.openxmlformats.org/officeDocument/2006/relationships/hyperlink" Target="https://www.commcarehq.org/a/qateam/apps/view/35b9a60884c8f8e69e507c56cbe8f370/" TargetMode="External" Id="rId8"/><Relationship Type="http://schemas.openxmlformats.org/officeDocument/2006/relationships/hyperlink" Target="https://www.commcarehq.org/admin/ota/mobilerecoverymeasure/17/change/" TargetMode="External" Id="rId9"/><Relationship Type="http://schemas.openxmlformats.org/officeDocument/2006/relationships/hyperlink" Target="https://www.commcarehq.org/a/qateam/apps/view/35b9a60884c8f8e69e507c56cbe8f370/" TargetMode="External" Id="rId10"/><Relationship Type="http://schemas.openxmlformats.org/officeDocument/2006/relationships/hyperlink" Target="https://www.commcarehq.org/a/qateam/apps/view/35b9a60884c8f8e69e507c56cbe8f370/" TargetMode="External" Id="rId11"/></Relationships>
</file>

<file path=xl/worksheets/_rels/sheet28.xml.rels><Relationships xmlns="http://schemas.openxmlformats.org/package/2006/relationships"><Relationship Type="http://schemas.openxmlformats.org/officeDocument/2006/relationships/hyperlink" Target="https://www.commcarehq.org/a/qateam/dashboard/project/" TargetMode="External" Id="rId1"/><Relationship Type="http://schemas.openxmlformats.org/officeDocument/2006/relationships/hyperlink" Target="https://www.commcarehq.org/a/qateam/apps/view/cdfa6c85eb594b23b0c08729cd2beff1/" TargetMode="External" Id="rId2"/><Relationship Type="http://schemas.openxmlformats.org/officeDocument/2006/relationships/hyperlink" Target="https://www.commcarehq.org/hq/flags/edit/support/" TargetMode="External" Id="rId3"/><Relationship Type="http://schemas.openxmlformats.org/officeDocument/2006/relationships/hyperlink" Target="https://dimagi-dev.atlassian.net/browse/SAAS-12646" TargetMode="External" Id="rId4"/><Relationship Type="http://schemas.openxmlformats.org/officeDocument/2006/relationships/hyperlink" Target="https://drive.google.com/drive/u/1/folders/10lThepuF5bguh-zxhnmlmaTn17MgezT_" TargetMode="External" Id="rId5"/><Relationship Type="http://schemas.openxmlformats.org/officeDocument/2006/relationships/hyperlink" Target="https://www.gps-coordinates.net/" TargetMode="External" Id="rId6"/><Relationship Type="http://schemas.openxmlformats.org/officeDocument/2006/relationships/hyperlink" Target="https://staging.commcarehq.org/hq/flags/edit/custom_properties/" TargetMode="External" Id="rId7"/><Relationship Type="http://schemas.openxmlformats.org/officeDocument/2006/relationships/hyperlink" Target="https://play.google.com/store/apps/details?id=com.first75.voicerecorder2&amp;hl=en" TargetMode="External" Id="rId8"/><Relationship Type="http://schemas.openxmlformats.org/officeDocument/2006/relationships/hyperlink" Target="https://play.google.com/store/apps/details?id=com.first75.voicerecorder2&amp;hl=en" TargetMode="External" Id="rId9"/></Relationships>
</file>

<file path=xl/worksheets/_rels/sheet29.xml.rels><Relationships xmlns="http://schemas.openxmlformats.org/package/2006/relationships"><Relationship Type="http://schemas.openxmlformats.org/officeDocument/2006/relationships/hyperlink" Target="https://www.commcarehq.org/a/qateam/apps/view/333c6200370448ee8748944312c1d7d5/" TargetMode="External" Id="rId1"/></Relationships>
</file>

<file path=xl/worksheets/_rels/sheet30.xml.rels><Relationships xmlns="http://schemas.openxmlformats.org/package/2006/relationships"><Relationship Type="http://schemas.openxmlformats.org/officeDocument/2006/relationships/hyperlink" Target="https://www.commcarehq.org/a/qateam/apps/view/cdfa6c85eb594b23b0c08729cd2beff1/" TargetMode="External" Id="rId1"/><Relationship Type="http://schemas.openxmlformats.org/officeDocument/2006/relationships/hyperlink" Target="https://www.commcarehq.org/hq/flags/edit/sumologic_logs/" TargetMode="External" Id="rId2"/></Relationships>
</file>

<file path=xl/worksheets/_rels/sheet31.xml.rels><Relationships xmlns="http://schemas.openxmlformats.org/package/2006/relationships"><Relationship Type="http://schemas.openxmlformats.org/officeDocument/2006/relationships/hyperlink" Target="https://www.commcarehq.org/a/rate-limited/apps/view/35589b21ffde2cd1e7be968088acd620/releases/" TargetMode="External" Id="rId1"/><Relationship Type="http://schemas.openxmlformats.org/officeDocument/2006/relationships/hyperlink" Target="https://www.commcarehq.org/a/rate-limited/apps/view/35589b21ffde2cd1e7be968088acd620/releases/" TargetMode="External" Id="rId2"/><Relationship Type="http://schemas.openxmlformats.org/officeDocument/2006/relationships/hyperlink" Target="https://dimagi-dev.atlassian.net/browse/SAAS-10719" TargetMode="External" Id="rId3"/><Relationship Type="http://schemas.openxmlformats.org/officeDocument/2006/relationships/hyperlink" Target="https://www.commcarehq.org/a/qateam/apps/view/cdfa6c85eb594b23b0c08729cd2beff1/" TargetMode="External" Id="rId4"/><Relationship Type="http://schemas.openxmlformats.org/officeDocument/2006/relationships/hyperlink" Target="https://dimagi-dev.atlassian.net/browse/QA-3848" TargetMode="External" Id="rId5"/></Relationships>
</file>

<file path=xl/worksheets/_rels/sheet32.xml.rels><Relationships xmlns="http://schemas.openxmlformats.org/package/2006/relationships"><Relationship Type="http://schemas.openxmlformats.org/officeDocument/2006/relationships/hyperlink" Target="https://www.commcarehq.org/a/rate-limited/apps/view/35589b21ffde2cd1e7be968088acd620/releases/" TargetMode="External" Id="rId1"/><Relationship Type="http://schemas.openxmlformats.org/officeDocument/2006/relationships/hyperlink" Target="https://www.commcarehq.org/a/qateam/apps/view/cdfa6c85eb594b23b0c08729cd2beff1/" TargetMode="External" Id="rId2"/></Relationships>
</file>

<file path=xl/worksheets/_rels/sheet33.xml.rels><Relationships xmlns="http://schemas.openxmlformats.org/package/2006/relationships"><Relationship Type="http://schemas.openxmlformats.org/officeDocument/2006/relationships/hyperlink" Target="https://www.commcarehq.org/a/rate-limited/apps/view/35589b21ffde2cd1e7be968088acd620/releases/" TargetMode="External" Id="rId1"/></Relationships>
</file>

<file path=xl/worksheets/_rels/sheet34.xml.rels><Relationships xmlns="http://schemas.openxmlformats.org/package/2006/relationships"><Relationship Type="http://schemas.openxmlformats.org/officeDocument/2006/relationships/hyperlink" Target="http://3.in/" TargetMode="External" Id="rId1"/></Relationships>
</file>

<file path=xl/worksheets/_rels/sheet35.xml.rels><Relationships xmlns="http://schemas.openxmlformats.org/package/2006/relationships"><Relationship Type="http://schemas.openxmlformats.org/officeDocument/2006/relationships/hyperlink" Target="https://www.codereadr.com/demo/" TargetMode="External" Id="rId1"/><Relationship Type="http://schemas.openxmlformats.org/officeDocument/2006/relationships/hyperlink" Target="https://online-barcode-reader.inliteresearch.com/" TargetMode="External" Id="rId2"/></Relationships>
</file>

<file path=xl/worksheets/_rels/sheet36.xml.rels><Relationships xmlns="http://schemas.openxmlformats.org/package/2006/relationships"><Relationship Type="http://schemas.openxmlformats.org/officeDocument/2006/relationships/hyperlink" Target="https://www.commcarehq.org/a/qateam/apps/view/7d825cb288674ef9acd9950a7782f8d6/" TargetMode="External" Id="rId1"/><Relationship Type="http://schemas.openxmlformats.org/officeDocument/2006/relationships/hyperlink" Target="https://www.commcarehq.org/a/qateam/apps/view/95ed9b8953cbeb7ec9b02df127496d8b/releases/" TargetMode="External" Id="rId2"/><Relationship Type="http://schemas.openxmlformats.org/officeDocument/2006/relationships/hyperlink" Target="https://www.commcarehq.org/a/qateam/apps/view/95ed9b8953cbeb7ec9b02df127496d8b/releases/" TargetMode="External" Id="rId3"/><Relationship Type="http://schemas.openxmlformats.org/officeDocument/2006/relationships/hyperlink" Target="https://www.commcarehq.org/a/qateam/apps/view/95ed9b8953cbeb7ec9b02df127496d8b/releases/" TargetMode="External" Id="rId4"/><Relationship Type="http://schemas.openxmlformats.org/officeDocument/2006/relationships/hyperlink" Target="https://www.commcarehq.org/a/qateam/apps/view/5d433764b62d29e47e776407a3cbd742/releases/" TargetMode="External" Id="rId5"/><Relationship Type="http://schemas.openxmlformats.org/officeDocument/2006/relationships/hyperlink" Target="https://dimagi.atlassian.net/browse/SAAS-15837" TargetMode="External" Id="rId6"/><Relationship Type="http://schemas.openxmlformats.org/officeDocument/2006/relationships/hyperlink" Target="https://help.commcarehq.org/display/commcarepublic/Grid+View+for+Form+and+Module+Screens" TargetMode="External" Id="rId7"/></Relationships>
</file>

<file path=xl/worksheets/_rels/sheet37.xml.rels><Relationships xmlns="http://schemas.openxmlformats.org/package/2006/relationships"><Relationship Type="http://schemas.openxmlformats.org/officeDocument/2006/relationships/hyperlink" Target="https://www.commcarehq.org/a/qateam/apps/view/935044327e1aeb419a73d91037486357/releases/" TargetMode="External" Id="rId1"/><Relationship Type="http://schemas.openxmlformats.org/officeDocument/2006/relationships/hyperlink" Target="https://drive.google.com/drive/folders/0BwsmvRdU7iq6bS1KU1l3WnduSjg?resourcekey=0-lRgPS6skPdEVuc1KgSWyng" TargetMode="External" Id="rId2"/></Relationships>
</file>

<file path=xl/worksheets/_rels/sheet38.xml.rels><Relationships xmlns="http://schemas.openxmlformats.org/package/2006/relationships"><Relationship Type="http://schemas.openxmlformats.org/officeDocument/2006/relationships/hyperlink" Target="https://www.commcarehq.org/a/qateam/apps/view/1ec1f67174327b5846acdfc45fd842cc/releases/" TargetMode="External" Id="rId1"/><Relationship Type="http://schemas.openxmlformats.org/officeDocument/2006/relationships/hyperlink" Target="https://www.commcarehq.org/a/qateam/apps/view/1ec1f67174327b5846acdfc45fd842cc/releases/" TargetMode="External" Id="rId2"/><Relationship Type="http://schemas.openxmlformats.org/officeDocument/2006/relationships/hyperlink" Target="https://www.commcarehq.org/a/qateam/apps/view/1ec1f67174327b5846acdfc45fd842cc/releases/" TargetMode="External" Id="rId3"/><Relationship Type="http://schemas.openxmlformats.org/officeDocument/2006/relationships/hyperlink" Target="https://www.commcarehq.org/a/qateam/apps/view/1ec1f67174327b5846acdfc45fd842cc/releases/" TargetMode="External" Id="rId4"/><Relationship Type="http://schemas.openxmlformats.org/officeDocument/2006/relationships/hyperlink" Target="https://www.commcarehq.org/a/qateam/apps/view/b0cd79c6a0e249f4a0a1723ea529a742/releases/" TargetMode="External" Id="rId5"/><Relationship Type="http://schemas.openxmlformats.org/officeDocument/2006/relationships/hyperlink" Target="https://www.commcarehq.org/a/qateam/apps/view/b0cd79c6a0e249f4a0a1723ea529a742/releases/" TargetMode="External" Id="rId6"/><Relationship Type="http://schemas.openxmlformats.org/officeDocument/2006/relationships/hyperlink" Target="https://www.commcarehq.org/a/qateam/apps/view/b0cd79c6a0e249f4a0a1723ea529a742/releases/" TargetMode="External" Id="rId7"/><Relationship Type="http://schemas.openxmlformats.org/officeDocument/2006/relationships/hyperlink" Target="https://www.commcarehq.org/a/qateam/apps/view/b0cd79c6a0e249f4a0a1723ea529a742/releases/" TargetMode="External" Id="rId8"/><Relationship Type="http://schemas.openxmlformats.org/officeDocument/2006/relationships/hyperlink" Target="https://www.commcarehq.org/a/qateam/apps/view/b0cd79c6a0e249f4a0a1723ea529a742/releases/" TargetMode="External" Id="rId9"/><Relationship Type="http://schemas.openxmlformats.org/officeDocument/2006/relationships/hyperlink" Target="https://www.commcarehq.org/a/qateam/apps/view/b0cd79c6a0e249f4a0a1723ea529a742/releases/" TargetMode="External" Id="rId10"/></Relationships>
</file>

<file path=xl/worksheets/sheet1.xml><?xml version="1.0" encoding="utf-8"?>
<worksheet xmlns="http://schemas.openxmlformats.org/spreadsheetml/2006/main">
  <sheetPr>
    <outlinePr summaryBelow="0" summaryRight="0"/>
    <pageSetUpPr/>
  </sheetPr>
  <dimension ref="A1:R75"/>
  <sheetViews>
    <sheetView workbookViewId="0">
      <selection activeCell="A1" sqref="A1"/>
    </sheetView>
  </sheetViews>
  <sheetFormatPr baseColWidth="8" defaultColWidth="17.29" defaultRowHeight="15" customHeight="1"/>
  <cols>
    <col width="34.43" customWidth="1" style="629" min="1" max="1"/>
    <col width="19.29" customWidth="1" style="629" min="2" max="4"/>
    <col width="28.71" customWidth="1" style="629" min="5" max="5"/>
    <col width="17" customWidth="1" style="629" min="6" max="6"/>
    <col width="7.71" customWidth="1" style="629" min="7" max="12"/>
    <col width="7.43" customWidth="1" style="629" min="13" max="13"/>
    <col width="19.57" customWidth="1" style="629" min="14" max="14"/>
    <col width="8.859999999999999" customWidth="1" style="629" min="15" max="18"/>
  </cols>
  <sheetData>
    <row r="1">
      <c r="A1" s="630" t="n"/>
      <c r="B1" s="631" t="inlineStr">
        <is>
          <t>Mobile Android Test Plan</t>
        </is>
      </c>
      <c r="C1" s="632" t="n"/>
      <c r="D1" s="632" t="n"/>
      <c r="E1" s="632" t="n"/>
      <c r="F1" s="632" t="n"/>
      <c r="G1" s="633" t="n"/>
      <c r="I1" s="17" t="inlineStr">
        <is>
          <t>Key</t>
        </is>
      </c>
      <c r="J1" s="20" t="n"/>
      <c r="K1" s="60" t="n"/>
      <c r="L1" s="97" t="n"/>
      <c r="M1" s="97" t="n"/>
      <c r="N1" s="97" t="n"/>
      <c r="O1" s="97" t="n"/>
      <c r="P1" s="97" t="n"/>
      <c r="Q1" s="97" t="n"/>
      <c r="R1" s="97" t="n"/>
    </row>
    <row r="2" ht="20.25" customHeight="1" s="629">
      <c r="A2" s="634" t="n"/>
      <c r="B2" s="635" t="n"/>
      <c r="C2" s="636" t="n"/>
      <c r="D2" s="636" t="n"/>
      <c r="E2" s="636" t="n"/>
      <c r="F2" s="636" t="n"/>
      <c r="G2" s="637" t="n"/>
      <c r="I2" s="100" t="inlineStr">
        <is>
          <t>Pass</t>
        </is>
      </c>
      <c r="J2" s="638" t="n"/>
      <c r="K2" s="155" t="inlineStr">
        <is>
          <t>Passed steps of Test Case</t>
        </is>
      </c>
      <c r="L2" s="639" t="n"/>
      <c r="M2" s="639" t="n"/>
      <c r="N2" s="639" t="n"/>
      <c r="O2" s="638" t="n"/>
      <c r="P2" s="67" t="n"/>
      <c r="Q2" s="67" t="n"/>
      <c r="R2" s="67" t="n"/>
    </row>
    <row r="3" ht="46.5" customHeight="1" s="629">
      <c r="A3" s="634" t="n"/>
      <c r="B3" s="640" t="inlineStr">
        <is>
          <t xml:space="preserve">Before testing each application for the first time, please update the application version to the newest (dev) version by completing the following steps:
</t>
        </is>
      </c>
      <c r="C3" s="639" t="n"/>
      <c r="D3" s="639" t="n"/>
      <c r="E3" s="639" t="n"/>
      <c r="F3" s="639" t="n"/>
      <c r="G3" s="638" t="n"/>
      <c r="I3" s="641" t="inlineStr">
        <is>
          <t>Fail</t>
        </is>
      </c>
      <c r="J3" s="638" t="n"/>
      <c r="K3" s="155" t="inlineStr">
        <is>
          <t>Failed steps of Test Case</t>
        </is>
      </c>
      <c r="L3" s="639" t="n"/>
      <c r="M3" s="639" t="n"/>
      <c r="N3" s="639" t="n"/>
      <c r="O3" s="638" t="n"/>
      <c r="P3" s="67" t="n"/>
      <c r="Q3" s="67" t="n"/>
      <c r="R3" s="67" t="n"/>
    </row>
    <row r="4" ht="37.5" customHeight="1" s="629">
      <c r="A4" s="642" t="n"/>
      <c r="B4" s="643" t="inlineStr">
        <is>
          <t>1. Navigate to qateam domain and select the application you will be using for testing
2. Click, "General Settings" and under "CommCare Version" click the drop down menu and select the newest application version (i.e., ' CommCare x.xx.x (dev)')
3. Select "Save" and navigate to "Deploy"
4. Select "Make a New Version" and when the application build completes, star your new version
5. Links and additional details on update can be found in the table below
6. Different CommCare Versions can be accessed here</t>
        </is>
      </c>
      <c r="C4" s="632" t="n"/>
      <c r="D4" s="632" t="n"/>
      <c r="E4" s="632" t="n"/>
      <c r="F4" s="632" t="n"/>
      <c r="G4" s="633" t="n"/>
      <c r="I4" s="644" t="inlineStr">
        <is>
          <t>N/A</t>
        </is>
      </c>
      <c r="J4" s="638" t="n"/>
      <c r="K4" s="155" t="inlineStr">
        <is>
          <t>Not applicable to your testing</t>
        </is>
      </c>
      <c r="L4" s="639" t="n"/>
      <c r="M4" s="639" t="n"/>
      <c r="N4" s="639" t="n"/>
      <c r="O4" s="638" t="n"/>
      <c r="P4" s="67" t="n"/>
      <c r="Q4" s="67" t="n"/>
      <c r="R4" s="67" t="n"/>
    </row>
    <row r="5" ht="115.5" customHeight="1" s="629">
      <c r="A5" s="55" t="inlineStr">
        <is>
          <t>Login Credentials
Username/Password 
test1/123
test2/123</t>
        </is>
      </c>
      <c r="B5" s="635" t="n"/>
      <c r="C5" s="636" t="n"/>
      <c r="D5" s="636" t="n"/>
      <c r="E5" s="636" t="n"/>
      <c r="F5" s="636" t="n"/>
      <c r="G5" s="637" t="n"/>
      <c r="I5" s="645" t="inlineStr">
        <is>
          <t>Blocking</t>
        </is>
      </c>
      <c r="J5" s="638" t="n"/>
      <c r="K5" s="155" t="inlineStr">
        <is>
          <t>Failed and is a critical feature or cannot proceed with testing</t>
        </is>
      </c>
      <c r="L5" s="639" t="n"/>
      <c r="M5" s="639" t="n"/>
      <c r="N5" s="639" t="n"/>
      <c r="O5" s="638" t="n"/>
      <c r="P5" s="42" t="n"/>
      <c r="Q5" s="42" t="n"/>
      <c r="R5" s="42" t="n"/>
    </row>
    <row r="6" ht="17.25" customHeight="1" s="629">
      <c r="A6" s="64" t="n"/>
      <c r="B6" s="64" t="n"/>
      <c r="C6" s="64" t="n"/>
      <c r="D6" s="64" t="n"/>
      <c r="E6" s="64" t="n"/>
      <c r="F6" s="65" t="n"/>
      <c r="I6" s="646" t="inlineStr">
        <is>
          <t>Unanswered</t>
        </is>
      </c>
      <c r="J6" s="638" t="n"/>
      <c r="K6" s="155" t="inlineStr">
        <is>
          <t>Unanswered/ blank test cases</t>
        </is>
      </c>
      <c r="L6" s="639" t="n"/>
      <c r="M6" s="639" t="n"/>
      <c r="N6" s="639" t="n"/>
      <c r="O6" s="638" t="n"/>
      <c r="P6" s="67" t="n"/>
      <c r="Q6" s="67" t="n"/>
      <c r="R6" s="67" t="n"/>
    </row>
    <row r="7" ht="17.25" customHeight="1" s="629">
      <c r="A7" s="68" t="inlineStr">
        <is>
          <t>Name of Tester</t>
        </is>
      </c>
      <c r="B7" s="647" t="inlineStr">
        <is>
          <t>Start Date</t>
        </is>
      </c>
      <c r="D7" s="648" t="n"/>
      <c r="E7" s="647" t="inlineStr">
        <is>
          <t>End Date</t>
        </is>
      </c>
      <c r="F7" s="648" t="n"/>
      <c r="N7" s="67" t="n"/>
      <c r="O7" s="67" t="n"/>
      <c r="P7" s="67" t="n"/>
      <c r="Q7" s="67" t="n"/>
      <c r="R7" s="67" t="n"/>
    </row>
    <row r="8">
      <c r="A8" s="116" t="n"/>
      <c r="B8" s="116" t="n"/>
      <c r="C8" s="639" t="n"/>
      <c r="D8" s="638" t="n"/>
      <c r="E8" s="116" t="n"/>
      <c r="F8" s="638" t="n"/>
      <c r="H8" s="60" t="n"/>
      <c r="I8" s="97" t="n"/>
      <c r="J8" s="97" t="n"/>
      <c r="K8" s="97" t="n"/>
      <c r="L8" s="97" t="n"/>
      <c r="M8" s="97" t="n"/>
      <c r="N8" s="97" t="n"/>
      <c r="O8" s="97" t="n"/>
      <c r="P8" s="97" t="n"/>
      <c r="Q8" s="97" t="n"/>
      <c r="R8" s="97" t="n"/>
    </row>
    <row r="9">
      <c r="A9" s="81" t="n"/>
      <c r="B9" s="81" t="n"/>
      <c r="C9" s="81" t="n"/>
      <c r="D9" s="81" t="n"/>
      <c r="E9" s="81" t="n"/>
      <c r="F9" s="81" t="n"/>
      <c r="G9" s="81" t="n"/>
      <c r="H9" s="60" t="n"/>
      <c r="I9" s="97" t="n"/>
      <c r="J9" s="97" t="n"/>
      <c r="K9" s="97" t="n"/>
      <c r="L9" s="97" t="n"/>
      <c r="M9" s="97" t="n"/>
      <c r="N9" s="97" t="n"/>
      <c r="O9" s="97" t="n"/>
      <c r="P9" s="97" t="n"/>
      <c r="Q9" s="97" t="n"/>
      <c r="R9" s="97" t="n"/>
    </row>
    <row r="10">
      <c r="A10" s="81" t="n"/>
      <c r="B10" s="81" t="n"/>
      <c r="C10" s="81" t="n"/>
      <c r="D10" s="81" t="n"/>
      <c r="E10" s="81" t="n"/>
      <c r="F10" s="81" t="n"/>
      <c r="G10" s="81" t="n"/>
      <c r="H10" s="60" t="n"/>
      <c r="I10" s="97" t="n"/>
      <c r="J10" s="97" t="n"/>
      <c r="K10" s="97" t="n"/>
      <c r="L10" s="97" t="n"/>
      <c r="M10" s="97" t="n"/>
      <c r="N10" s="97" t="n"/>
      <c r="O10" s="97" t="n"/>
      <c r="P10" s="97" t="n"/>
      <c r="Q10" s="97" t="n"/>
      <c r="R10" s="97" t="n"/>
    </row>
    <row r="11">
      <c r="A11" s="84" t="inlineStr">
        <is>
          <t>Tab</t>
        </is>
      </c>
      <c r="B11" s="84" t="inlineStr">
        <is>
          <t>Execution Status</t>
        </is>
      </c>
      <c r="C11" s="84" t="inlineStr">
        <is>
          <t xml:space="preserve">Core Workflows </t>
        </is>
      </c>
      <c r="D11" s="84" t="inlineStr">
        <is>
          <t>Duration</t>
        </is>
      </c>
      <c r="E11" s="84" t="inlineStr">
        <is>
          <t>Mobile Device/ APK version</t>
        </is>
      </c>
      <c r="F11" s="84" t="inlineStr">
        <is>
          <t>Comments</t>
        </is>
      </c>
      <c r="G11" s="88" t="inlineStr">
        <is>
          <t>Case Results
(if none, displays as 0)</t>
        </is>
      </c>
      <c r="L11" s="84" t="inlineStr">
        <is>
          <t>Total</t>
        </is>
      </c>
      <c r="M11" s="60" t="n"/>
      <c r="N11" s="88" t="inlineStr">
        <is>
          <t>Ticket Summaries (if none, displays as #N/A)</t>
        </is>
      </c>
    </row>
    <row r="12" hidden="1" s="629">
      <c r="A12" s="93" t="inlineStr">
        <is>
          <t>Notes</t>
        </is>
      </c>
      <c r="B12" s="84" t="n"/>
      <c r="C12" s="116" t="n"/>
      <c r="D12" s="116" t="n"/>
      <c r="E12" s="97" t="n"/>
      <c r="F12" s="60" t="n"/>
      <c r="G12" s="100">
        <f>countif(INDIRECT("'"&amp;#REF!&amp;"'!"&amp;"D2:D100"), "Pass")</f>
        <v/>
      </c>
      <c r="H12" s="102">
        <f>countif(INDIRECT("'"&amp;#REF!&amp;"'!"&amp;"D2:D100"), "Fail")</f>
        <v/>
      </c>
      <c r="I12" s="105">
        <f>countif(INDIRECT("'"&amp;#REF!&amp;"'!"&amp;"D2:D100"), "N/A")</f>
        <v/>
      </c>
      <c r="J12" s="107">
        <f>countif(INDIRECT("'"&amp;#REF!&amp;"'!"&amp;"D2:D100"), "Blocking")</f>
        <v/>
      </c>
      <c r="K12" s="109">
        <f>countif(INDIRECT("'"&amp;#REF!&amp;"'!"&amp;"D2:D100"), "")</f>
        <v/>
      </c>
      <c r="L12" s="116">
        <f>sum(G12:K12)</f>
        <v/>
      </c>
      <c r="M12" s="60" t="n"/>
      <c r="N12" s="116">
        <f>IFERROR(__xludf.DUMMYFUNCTION(" TRANSPOSE(UNIQUE( FILTER( INDIRECT(""'""&amp;#REF!&amp;""'!""&amp;""E2:E100"") , NOT(ISBLANK(INDIRECT(""'""&amp;#REF!&amp;""'!""&amp;""E2:E100""))) ) ))"),"#REF!")</f>
        <v/>
      </c>
      <c r="O12" s="116" t="n"/>
      <c r="P12" s="116" t="n"/>
      <c r="Q12" s="116" t="n"/>
      <c r="R12" s="116" t="n"/>
    </row>
    <row r="13">
      <c r="A13" s="93" t="inlineStr">
        <is>
          <t>Browserstack</t>
        </is>
      </c>
      <c r="B13" s="111" t="n"/>
      <c r="C13" s="112" t="inlineStr">
        <is>
          <t>Core</t>
        </is>
      </c>
      <c r="D13" s="113" t="n"/>
      <c r="E13" s="112" t="n"/>
      <c r="F13" s="116" t="inlineStr">
        <is>
          <t>Pick any one!</t>
        </is>
      </c>
      <c r="G13" s="100">
        <f>countif(INDIRECT("'"&amp;#REF!&amp;"'!"&amp;"D2:D100"), "Pass")</f>
        <v/>
      </c>
      <c r="H13" s="102">
        <f>countif(INDIRECT("'"&amp;#REF!&amp;"'!"&amp;"D2:D100"), "Fail")</f>
        <v/>
      </c>
      <c r="I13" s="105">
        <f>countif(INDIRECT("'"&amp;#REF!&amp;"'!"&amp;"D2:D100"), "N/A")</f>
        <v/>
      </c>
      <c r="J13" s="107">
        <f>countif(INDIRECT("'"&amp;#REF!&amp;"'!"&amp;"D2:D100"), "Blocking")</f>
        <v/>
      </c>
      <c r="K13" s="109">
        <f>countif(INDIRECT("'"&amp;#REF!&amp;"'!"&amp;"D2:D100"), "")</f>
        <v/>
      </c>
      <c r="L13" s="116">
        <f>sum(G13:K13)</f>
        <v/>
      </c>
      <c r="M13" s="60" t="n"/>
      <c r="N13" s="116">
        <f>IFERROR(__xludf.DUMMYFUNCTION("TRANSPOSE(UNIQUE( FILTER( INDIRECT(""'""&amp;#REF!&amp;""'!""&amp;""F8:F100"") , NOT(ISBLANK(INDIRECT(""'""&amp;#REF!&amp;""'!""&amp;""F8:F100""))) ) ))"),"#REF!")</f>
        <v/>
      </c>
      <c r="O13" s="116" t="n"/>
      <c r="P13" s="116" t="n"/>
      <c r="Q13" s="116" t="n"/>
      <c r="R13" s="116" t="n"/>
    </row>
    <row r="14">
      <c r="A14" s="84">
        <f>sheetName(4)</f>
        <v/>
      </c>
      <c r="B14" s="111" t="n"/>
      <c r="C14" s="112" t="inlineStr">
        <is>
          <t xml:space="preserve">Core </t>
        </is>
      </c>
      <c r="D14" s="113" t="n"/>
      <c r="E14" s="113" t="n"/>
      <c r="F14" s="642" t="n"/>
      <c r="G14" s="100">
        <f>countif(INDIRECT("'"&amp;A14&amp;"'!"&amp;"D2:D100"), "Pass")</f>
        <v/>
      </c>
      <c r="H14" s="102">
        <f>countif(INDIRECT("'"&amp;A14&amp;"'!"&amp;"D2:D100"), "Fail")</f>
        <v/>
      </c>
      <c r="I14" s="105">
        <f>countif(INDIRECT("'"&amp;A14&amp;"'!"&amp;"D2:D100"), "N/A")</f>
        <v/>
      </c>
      <c r="J14" s="107">
        <f>countif(INDIRECT("'"&amp;A14&amp;"'!"&amp;"D2:D100"), "Blocking")</f>
        <v/>
      </c>
      <c r="K14" s="109">
        <f>countif(INDIRECT("'"&amp;A14&amp;"'!"&amp;"D2:D100"), "")</f>
        <v/>
      </c>
      <c r="L14" s="116">
        <f>sum(G14:K14)</f>
        <v/>
      </c>
      <c r="M14" s="60" t="n"/>
      <c r="N14" s="116">
        <f>IFERROR(__xludf.DUMMYFUNCTION("TRANSPOSE(UNIQUE( FILTER( INDIRECT(""'""&amp;$A$14&amp;""'!""&amp;""F8:F100"") , NOT(ISBLANK(INDIRECT(""'""&amp;$A$14&amp;""'!""&amp;""F8:F100""))) ) ))"),"#N/A")</f>
        <v/>
      </c>
      <c r="O14" s="116" t="n"/>
      <c r="P14" s="116" t="n"/>
      <c r="Q14" s="116" t="n"/>
      <c r="R14" s="116" t="n"/>
    </row>
    <row r="15">
      <c r="A15" s="84">
        <f>sheetName(5)</f>
        <v/>
      </c>
      <c r="B15" s="111" t="n"/>
      <c r="C15" s="116" t="inlineStr">
        <is>
          <t xml:space="preserve">Core </t>
        </is>
      </c>
      <c r="D15" s="132" t="n"/>
      <c r="E15" s="132" t="n"/>
      <c r="F15" s="132" t="n"/>
      <c r="G15" s="100">
        <f>countif(INDIRECT("'"&amp;A15&amp;"'!"&amp;"D2:D100"), "Pass")</f>
        <v/>
      </c>
      <c r="H15" s="102">
        <f>countif(INDIRECT("'"&amp;A15&amp;"'!"&amp;"D2:D100"), "Fail")</f>
        <v/>
      </c>
      <c r="I15" s="105">
        <f>countif(INDIRECT("'"&amp;A15&amp;"'!"&amp;"D2:D100"), "N/A")</f>
        <v/>
      </c>
      <c r="J15" s="107">
        <f>countif(INDIRECT("'"&amp;A15&amp;"'!"&amp;"D2:D100"), "Blocking")</f>
        <v/>
      </c>
      <c r="K15" s="109">
        <f>countif(INDIRECT("'"&amp;A15&amp;"'!"&amp;"D2:D100"), "")</f>
        <v/>
      </c>
      <c r="L15" s="116">
        <f>sum(G15:K15)</f>
        <v/>
      </c>
      <c r="M15" s="60" t="n"/>
      <c r="N15" s="116">
        <f>IFERROR(__xludf.DUMMYFUNCTION("TRANSPOSE(UNIQUE( FILTER( INDIRECT(""'""&amp;$A15&amp;""'!""&amp;""F8:F100"") , NOT(ISBLANK(INDIRECT(""'""&amp;$A15&amp;""'!""&amp;""F8:F100""))) ) ))"),"#N/A")</f>
        <v/>
      </c>
      <c r="O15" s="116" t="n"/>
      <c r="P15" s="116" t="n"/>
      <c r="Q15" s="116" t="n"/>
      <c r="R15" s="116" t="n"/>
    </row>
    <row r="16">
      <c r="A16" s="84">
        <f>sheetName(6)</f>
        <v/>
      </c>
      <c r="B16" s="111" t="n"/>
      <c r="C16" s="116" t="inlineStr">
        <is>
          <t xml:space="preserve">Core </t>
        </is>
      </c>
      <c r="D16" s="132" t="n"/>
      <c r="E16" s="132" t="n"/>
      <c r="F16" s="132" t="n"/>
      <c r="G16" s="100">
        <f>countif(INDIRECT("'"&amp;A16&amp;"'!"&amp;"D2:D100"), "Pass")</f>
        <v/>
      </c>
      <c r="H16" s="102">
        <f>countif(INDIRECT("'"&amp;A16&amp;"'!"&amp;"D2:D100"), "Fail")</f>
        <v/>
      </c>
      <c r="I16" s="105">
        <f>countif(INDIRECT("'"&amp;A16&amp;"'!"&amp;"D2:D100"), "N/A")</f>
        <v/>
      </c>
      <c r="J16" s="107">
        <f>countif(INDIRECT("'"&amp;A16&amp;"'!"&amp;"D2:D100"), "Blocking")</f>
        <v/>
      </c>
      <c r="K16" s="109">
        <f>countif(INDIRECT("'"&amp;A16&amp;"'!"&amp;"D2:D100"), "")</f>
        <v/>
      </c>
      <c r="L16" s="116">
        <f>sum(G16:K16)</f>
        <v/>
      </c>
      <c r="M16" s="60" t="n"/>
      <c r="N16" s="116">
        <f>IFERROR(__xludf.DUMMYFUNCTION("TRANSPOSE(UNIQUE( FILTER( INDIRECT(""'""&amp;$A16&amp;""'!""&amp;""F8:F100"") , NOT(ISBLANK(INDIRECT(""'""&amp;$A16&amp;""'!""&amp;""F8:F100""))) ) ))"),"#N/A")</f>
        <v/>
      </c>
      <c r="O16" s="116" t="n"/>
      <c r="P16" s="116" t="n"/>
      <c r="Q16" s="116" t="n"/>
      <c r="R16" s="116" t="n"/>
    </row>
    <row r="17">
      <c r="A17" s="84">
        <f>sheetName(7)</f>
        <v/>
      </c>
      <c r="B17" s="111" t="n"/>
      <c r="C17" s="116" t="inlineStr">
        <is>
          <t xml:space="preserve">Core </t>
        </is>
      </c>
      <c r="D17" s="132" t="n"/>
      <c r="E17" s="132" t="n"/>
      <c r="F17" s="132" t="n"/>
      <c r="G17" s="100">
        <f>countif(INDIRECT("'"&amp;A17&amp;"'!"&amp;"D2:D100"), "Pass")</f>
        <v/>
      </c>
      <c r="H17" s="102">
        <f>countif(INDIRECT("'"&amp;A17&amp;"'!"&amp;"D2:D100"), "Fail")</f>
        <v/>
      </c>
      <c r="I17" s="105">
        <f>countif(INDIRECT("'"&amp;A17&amp;"'!"&amp;"D2:D100"), "N/A")</f>
        <v/>
      </c>
      <c r="J17" s="107">
        <f>countif(INDIRECT("'"&amp;A17&amp;"'!"&amp;"D2:D100"), "Blocking")</f>
        <v/>
      </c>
      <c r="K17" s="109">
        <f>countif(INDIRECT("'"&amp;A17&amp;"'!"&amp;"D2:D100"), "")</f>
        <v/>
      </c>
      <c r="L17" s="116">
        <f>sum(G17:K17)</f>
        <v/>
      </c>
      <c r="M17" s="60" t="n"/>
      <c r="N17" s="116">
        <f>IFERROR(__xludf.DUMMYFUNCTION("TRANSPOSE(UNIQUE( FILTER( INDIRECT(""'""&amp;$A17&amp;""'!""&amp;""F8:F100"") , NOT(ISBLANK(INDIRECT(""'""&amp;$A17&amp;""'!""&amp;""F8:F100""))) ) ))"),"#N/A")</f>
        <v/>
      </c>
      <c r="O17" s="116" t="n"/>
      <c r="P17" s="116" t="n"/>
      <c r="Q17" s="116" t="n"/>
      <c r="R17" s="116" t="n"/>
    </row>
    <row r="18">
      <c r="A18" s="84">
        <f>sheetName(8)</f>
        <v/>
      </c>
      <c r="B18" s="111" t="n"/>
      <c r="C18" s="116" t="inlineStr">
        <is>
          <t>Non-Core</t>
        </is>
      </c>
      <c r="D18" s="132" t="n"/>
      <c r="E18" s="132" t="n"/>
      <c r="F18" s="132" t="n"/>
      <c r="G18" s="100">
        <f>countif(INDIRECT("'"&amp;A18&amp;"'!"&amp;"D2:D100"), "Pass")</f>
        <v/>
      </c>
      <c r="H18" s="102">
        <f>countif(INDIRECT("'"&amp;A18&amp;"'!"&amp;"D2:D100"), "Fail")</f>
        <v/>
      </c>
      <c r="I18" s="105">
        <f>countif(INDIRECT("'"&amp;A18&amp;"'!"&amp;"D2:D100"), "N/A")</f>
        <v/>
      </c>
      <c r="J18" s="107">
        <f>countif(INDIRECT("'"&amp;A18&amp;"'!"&amp;"D2:D100"), "Blocking")</f>
        <v/>
      </c>
      <c r="K18" s="109">
        <f>countif(INDIRECT("'"&amp;A18&amp;"'!"&amp;"D2:D100"), "")</f>
        <v/>
      </c>
      <c r="L18" s="116">
        <f>sum(G18:K18)</f>
        <v/>
      </c>
      <c r="M18" s="60" t="n"/>
      <c r="N18" s="116">
        <f>IFERROR(__xludf.DUMMYFUNCTION("TRANSPOSE(UNIQUE( FILTER( INDIRECT(""'""&amp;$A18&amp;""'!""&amp;""F8:F100"") , NOT(ISBLANK(INDIRECT(""'""&amp;$A18&amp;""'!""&amp;""F8:F100""))) ) ))"),"#N/A")</f>
        <v/>
      </c>
      <c r="O18" s="116" t="n"/>
      <c r="P18" s="116" t="n"/>
      <c r="Q18" s="116" t="n"/>
      <c r="R18" s="116" t="n"/>
    </row>
    <row r="19">
      <c r="A19" s="84">
        <f>sheetName(9)</f>
        <v/>
      </c>
      <c r="B19" s="111" t="n"/>
      <c r="C19" s="116" t="inlineStr">
        <is>
          <t>Non-Core</t>
        </is>
      </c>
      <c r="D19" s="132" t="n"/>
      <c r="E19" s="132" t="n"/>
      <c r="F19" s="132" t="n"/>
      <c r="G19" s="100">
        <f>countif(INDIRECT("'"&amp;A19&amp;"'!"&amp;"D2:D100"), "Pass")</f>
        <v/>
      </c>
      <c r="H19" s="102">
        <f>countif(INDIRECT("'"&amp;A19&amp;"'!"&amp;"D2:D100"), "Fail")</f>
        <v/>
      </c>
      <c r="I19" s="105">
        <f>countif(INDIRECT("'"&amp;A19&amp;"'!"&amp;"D2:D100"), "N/A")</f>
        <v/>
      </c>
      <c r="J19" s="107">
        <f>countif(INDIRECT("'"&amp;A19&amp;"'!"&amp;"D2:D100"), "Blocking")</f>
        <v/>
      </c>
      <c r="K19" s="109">
        <f>countif(INDIRECT("'"&amp;A19&amp;"'!"&amp;"D2:D100"), "")</f>
        <v/>
      </c>
      <c r="L19" s="116">
        <f>sum(G19:K19)</f>
        <v/>
      </c>
      <c r="M19" s="60" t="n"/>
      <c r="N19" s="116">
        <f>IFERROR(__xludf.DUMMYFUNCTION("TRANSPOSE(UNIQUE( FILTER( INDIRECT(""'""&amp;$A19&amp;""'!""&amp;""F8:F100"") , NOT(ISBLANK(INDIRECT(""'""&amp;$A19&amp;""'!""&amp;""F8:F100""))) ) ))"),"#N/A")</f>
        <v/>
      </c>
      <c r="O19" s="116" t="n"/>
      <c r="P19" s="116" t="n"/>
      <c r="Q19" s="116" t="n"/>
      <c r="R19" s="116" t="n"/>
    </row>
    <row r="20">
      <c r="A20" s="84">
        <f>sheetName(10)</f>
        <v/>
      </c>
      <c r="B20" s="111" t="n"/>
      <c r="C20" s="116" t="inlineStr">
        <is>
          <t>Non-Core</t>
        </is>
      </c>
      <c r="D20" s="132" t="n"/>
      <c r="E20" s="132" t="n"/>
      <c r="F20" s="132" t="n"/>
      <c r="G20" s="100">
        <f>countif(INDIRECT("'"&amp;A20&amp;"'!"&amp;"D2:D100"), "Pass")</f>
        <v/>
      </c>
      <c r="H20" s="102">
        <f>countif(INDIRECT("'"&amp;A20&amp;"'!"&amp;"D2:D100"), "Fail")</f>
        <v/>
      </c>
      <c r="I20" s="105">
        <f>countif(INDIRECT("'"&amp;A20&amp;"'!"&amp;"D2:D100"), "N/A")</f>
        <v/>
      </c>
      <c r="J20" s="107">
        <f>countif(INDIRECT("'"&amp;A20&amp;"'!"&amp;"D2:D100"), "Blocking")</f>
        <v/>
      </c>
      <c r="K20" s="109">
        <f>countif(INDIRECT("'"&amp;A20&amp;"'!"&amp;"D2:D100"), "")</f>
        <v/>
      </c>
      <c r="L20" s="116">
        <f>sum(G20:K20)</f>
        <v/>
      </c>
      <c r="M20" s="60" t="n"/>
      <c r="N20" s="116">
        <f>IFERROR(__xludf.DUMMYFUNCTION("TRANSPOSE(UNIQUE( FILTER( INDIRECT(""'""&amp;$A20&amp;""'!""&amp;""F8:F100"") , NOT(ISBLANK(INDIRECT(""'""&amp;$A20&amp;""'!""&amp;""F8:F100""))) ) ))"),"#N/A")</f>
        <v/>
      </c>
      <c r="O20" s="116" t="n"/>
      <c r="P20" s="116" t="n"/>
      <c r="Q20" s="116" t="n"/>
      <c r="R20" s="116" t="n"/>
    </row>
    <row r="21">
      <c r="A21" s="68">
        <f>sheetName(11)</f>
        <v/>
      </c>
      <c r="B21" s="111" t="n"/>
      <c r="C21" s="116" t="inlineStr">
        <is>
          <t xml:space="preserve">Core </t>
        </is>
      </c>
      <c r="D21" s="132" t="n"/>
      <c r="E21" s="132" t="n"/>
      <c r="F21" s="132" t="n"/>
      <c r="G21" s="100">
        <f>countif(INDIRECT("'"&amp;A21&amp;"'!"&amp;"D2:D100"), "Pass")</f>
        <v/>
      </c>
      <c r="H21" s="102">
        <f>countif(INDIRECT("'"&amp;A21&amp;"'!"&amp;"D2:D100"), "Fail")</f>
        <v/>
      </c>
      <c r="I21" s="105">
        <f>countif(INDIRECT("'"&amp;A21&amp;"'!"&amp;"D2:D100"), "N/A")</f>
        <v/>
      </c>
      <c r="J21" s="107">
        <f>countif(INDIRECT("'"&amp;A21&amp;"'!"&amp;"D2:D100"), "Blocking")</f>
        <v/>
      </c>
      <c r="K21" s="109">
        <f>countif(INDIRECT("'"&amp;A21&amp;"'!"&amp;"D2:D100"), "")</f>
        <v/>
      </c>
      <c r="L21" s="116">
        <f>sum(G21:K21)</f>
        <v/>
      </c>
      <c r="M21" s="60" t="n"/>
      <c r="N21" s="116">
        <f>IFERROR(__xludf.DUMMYFUNCTION("TRANSPOSE(UNIQUE( FILTER( INDIRECT(""'""&amp;$A21&amp;""'!""&amp;""F8:F100"") , NOT(ISBLANK(INDIRECT(""'""&amp;$A21&amp;""'!""&amp;""F8:F100""))) ) ))"),"#N/A")</f>
        <v/>
      </c>
      <c r="O21" s="116" t="n"/>
      <c r="P21" s="116" t="n"/>
      <c r="Q21" s="116" t="n"/>
      <c r="R21" s="116" t="n"/>
    </row>
    <row r="22">
      <c r="A22" s="84">
        <f>sheetName(12)</f>
        <v/>
      </c>
      <c r="B22" s="111" t="n"/>
      <c r="C22" s="116" t="inlineStr">
        <is>
          <t xml:space="preserve">Core </t>
        </is>
      </c>
      <c r="D22" s="132" t="n"/>
      <c r="E22" s="132" t="n"/>
      <c r="F22" s="132" t="n"/>
      <c r="G22" s="100">
        <f>countif(INDIRECT("'"&amp;A22&amp;"'!"&amp;"D2:D100"), "Pass")</f>
        <v/>
      </c>
      <c r="H22" s="102">
        <f>countif(INDIRECT("'"&amp;A22&amp;"'!"&amp;"D2:D100"), "Fail")</f>
        <v/>
      </c>
      <c r="I22" s="105">
        <f>countif(INDIRECT("'"&amp;A22&amp;"'!"&amp;"D2:D100"), "N/A")</f>
        <v/>
      </c>
      <c r="J22" s="107">
        <f>countif(INDIRECT("'"&amp;A22&amp;"'!"&amp;"D2:D100"), "Blocking")</f>
        <v/>
      </c>
      <c r="K22" s="109">
        <f>countif(INDIRECT("'"&amp;A22&amp;"'!"&amp;"D2:D100"), "")</f>
        <v/>
      </c>
      <c r="L22" s="116">
        <f>sum(G22:K22)</f>
        <v/>
      </c>
      <c r="M22" s="60" t="n"/>
      <c r="N22" s="116">
        <f>IFERROR(__xludf.DUMMYFUNCTION("TRANSPOSE(UNIQUE( FILTER( INDIRECT(""'""&amp;$A22&amp;""'!""&amp;""F8:F100"") , NOT(ISBLANK(INDIRECT(""'""&amp;$A22&amp;""'!""&amp;""F8:F100""))) ) ))"),"#N/A")</f>
        <v/>
      </c>
      <c r="O22" s="116" t="n"/>
      <c r="P22" s="116" t="n"/>
      <c r="Q22" s="116" t="n"/>
      <c r="R22" s="116" t="n"/>
    </row>
    <row r="23">
      <c r="A23" s="84">
        <f>sheetName(13)</f>
        <v/>
      </c>
      <c r="B23" s="111" t="n"/>
      <c r="C23" s="116" t="inlineStr">
        <is>
          <t>Non-Core</t>
        </is>
      </c>
      <c r="D23" s="132" t="n"/>
      <c r="E23" s="132" t="n"/>
      <c r="F23" s="132" t="n"/>
      <c r="G23" s="100">
        <f>countif(INDIRECT("'"&amp;A23&amp;"'!"&amp;"D2:D100"), "Pass")</f>
        <v/>
      </c>
      <c r="H23" s="102">
        <f>countif(INDIRECT("'"&amp;A23&amp;"'!"&amp;"D2:D100"), "Fail")</f>
        <v/>
      </c>
      <c r="I23" s="105">
        <f>countif(INDIRECT("'"&amp;A23&amp;"'!"&amp;"D2:D100"), "N/A")</f>
        <v/>
      </c>
      <c r="J23" s="107">
        <f>countif(INDIRECT("'"&amp;A23&amp;"'!"&amp;"D2:D100"), "Blocking")</f>
        <v/>
      </c>
      <c r="K23" s="109">
        <f>countif(INDIRECT("'"&amp;A23&amp;"'!"&amp;"D2:D100"), "")</f>
        <v/>
      </c>
      <c r="L23" s="116">
        <f>sum(G23:K23)</f>
        <v/>
      </c>
      <c r="M23" s="60" t="n"/>
      <c r="N23" s="116">
        <f>IFERROR(__xludf.DUMMYFUNCTION("TRANSPOSE(UNIQUE( FILTER( INDIRECT(""'""&amp;$A23&amp;""'!""&amp;""F8:F100"") , NOT(ISBLANK(INDIRECT(""'""&amp;$A23&amp;""'!""&amp;""F8:F100""))) ) ))"),"#N/A")</f>
        <v/>
      </c>
      <c r="O23" s="116" t="n"/>
      <c r="P23" s="116" t="n"/>
      <c r="Q23" s="116" t="n"/>
      <c r="R23" s="116" t="n"/>
    </row>
    <row r="24">
      <c r="A24" s="84">
        <f>sheetName(14)</f>
        <v/>
      </c>
      <c r="B24" s="111" t="n"/>
      <c r="C24" s="116" t="inlineStr">
        <is>
          <t>Non-Core</t>
        </is>
      </c>
      <c r="D24" s="132" t="n"/>
      <c r="E24" s="132" t="n"/>
      <c r="F24" s="132" t="n"/>
      <c r="G24" s="100">
        <f>countif(INDIRECT("'"&amp;A24&amp;"'!"&amp;"D2:D100"), "Pass")</f>
        <v/>
      </c>
      <c r="H24" s="102">
        <f>countif(INDIRECT("'"&amp;A24&amp;"'!"&amp;"D2:D100"), "Fail")</f>
        <v/>
      </c>
      <c r="I24" s="105">
        <f>countif(INDIRECT("'"&amp;A24&amp;"'!"&amp;"D2:D100"), "N/A")</f>
        <v/>
      </c>
      <c r="J24" s="107">
        <f>countif(INDIRECT("'"&amp;A24&amp;"'!"&amp;"D2:D100"), "Blocking")</f>
        <v/>
      </c>
      <c r="K24" s="109">
        <f>countif(INDIRECT("'"&amp;A24&amp;"'!"&amp;"D2:D100"), "")</f>
        <v/>
      </c>
      <c r="L24" s="116">
        <f>sum(G24:K24)</f>
        <v/>
      </c>
      <c r="M24" s="97" t="n"/>
      <c r="N24" s="116">
        <f>IFERROR(__xludf.DUMMYFUNCTION("TRANSPOSE(UNIQUE( FILTER( INDIRECT(""'""&amp;$A24&amp;""'!""&amp;""F8:F100"") , NOT(ISBLANK(INDIRECT(""'""&amp;$A24&amp;""'!""&amp;""F8:F100""))) ) ))"),"#N/A")</f>
        <v/>
      </c>
      <c r="O24" s="116" t="n"/>
      <c r="P24" s="116" t="n"/>
      <c r="Q24" s="116" t="n"/>
      <c r="R24" s="116" t="n"/>
    </row>
    <row r="25">
      <c r="A25" s="84">
        <f>sheetName(15)</f>
        <v/>
      </c>
      <c r="B25" s="111" t="n"/>
      <c r="C25" s="116" t="inlineStr">
        <is>
          <t>Non-Core</t>
        </is>
      </c>
      <c r="D25" s="132" t="n"/>
      <c r="E25" s="132" t="n"/>
      <c r="F25" s="132" t="n"/>
      <c r="G25" s="100">
        <f>countif(INDIRECT("'"&amp;A25&amp;"'!"&amp;"D2:D100"), "Pass")</f>
        <v/>
      </c>
      <c r="H25" s="102">
        <f>countif(INDIRECT("'"&amp;A25&amp;"'!"&amp;"D2:D100"), "Fail")</f>
        <v/>
      </c>
      <c r="I25" s="105">
        <f>countif(INDIRECT("'"&amp;A25&amp;"'!"&amp;"D2:D100"), "N/A")</f>
        <v/>
      </c>
      <c r="J25" s="107">
        <f>countif(INDIRECT("'"&amp;A25&amp;"'!"&amp;"D2:D100"), "Blocking")</f>
        <v/>
      </c>
      <c r="K25" s="109">
        <f>countif(INDIRECT("'"&amp;A25&amp;"'!"&amp;"D2:D100"), "")</f>
        <v/>
      </c>
      <c r="L25" s="116">
        <f>sum(G25:K25)</f>
        <v/>
      </c>
      <c r="M25" s="97" t="n"/>
      <c r="N25" s="116">
        <f>IFERROR(__xludf.DUMMYFUNCTION("TRANSPOSE(UNIQUE( FILTER( INDIRECT(""'""&amp;$A25&amp;""'!""&amp;""F8:F100"") , NOT(ISBLANK(INDIRECT(""'""&amp;$A25&amp;""'!""&amp;""F8:F100""))) ) ))"),"#N/A")</f>
        <v/>
      </c>
      <c r="O25" s="116" t="n"/>
      <c r="P25" s="116" t="n"/>
      <c r="Q25" s="116" t="n"/>
      <c r="R25" s="116" t="n"/>
    </row>
    <row r="26">
      <c r="A26" s="84">
        <f>sheetName(16)</f>
        <v/>
      </c>
      <c r="B26" s="111" t="n"/>
      <c r="C26" s="116" t="inlineStr">
        <is>
          <t xml:space="preserve">Core </t>
        </is>
      </c>
      <c r="D26" s="132" t="n"/>
      <c r="E26" s="132" t="n"/>
      <c r="F26" s="132" t="n"/>
      <c r="G26" s="100">
        <f>countif(INDIRECT("'"&amp;A26&amp;"'!"&amp;"D2:D100"), "Pass")</f>
        <v/>
      </c>
      <c r="H26" s="102">
        <f>countif(INDIRECT("'"&amp;A26&amp;"'!"&amp;"D2:D100"), "Fail")</f>
        <v/>
      </c>
      <c r="I26" s="105">
        <f>countif(INDIRECT("'"&amp;A26&amp;"'!"&amp;"D2:D100"), "N/A")</f>
        <v/>
      </c>
      <c r="J26" s="107">
        <f>countif(INDIRECT("'"&amp;A26&amp;"'!"&amp;"D2:D100"), "Blocking")</f>
        <v/>
      </c>
      <c r="K26" s="109">
        <f>countif(INDIRECT("'"&amp;A26&amp;"'!"&amp;"D2:D100"), "")</f>
        <v/>
      </c>
      <c r="L26" s="116">
        <f>sum(G26:K26)</f>
        <v/>
      </c>
      <c r="M26" s="97" t="n"/>
      <c r="N26" s="116">
        <f>IFERROR(__xludf.DUMMYFUNCTION("TRANSPOSE(UNIQUE( FILTER( INDIRECT(""'""&amp;$A26&amp;""'!""&amp;""F9:F100"") , NOT(ISBLANK(INDIRECT(""'""&amp;$A26&amp;""'!""&amp;""F9:F100""))) ) ))"),"#N/A")</f>
        <v/>
      </c>
      <c r="O26" s="116" t="n"/>
      <c r="P26" s="116" t="n"/>
      <c r="Q26" s="116" t="n"/>
      <c r="R26" s="116" t="n"/>
    </row>
    <row r="27">
      <c r="A27" s="84">
        <f>sheetName(17)</f>
        <v/>
      </c>
      <c r="B27" s="111" t="n"/>
      <c r="C27" s="116" t="inlineStr">
        <is>
          <t xml:space="preserve">Core </t>
        </is>
      </c>
      <c r="D27" s="132" t="n"/>
      <c r="E27" s="132" t="n"/>
      <c r="F27" s="132" t="n"/>
      <c r="G27" s="100">
        <f>countif(INDIRECT("'"&amp;A27&amp;"'!"&amp;"D2:D100"), "Pass")</f>
        <v/>
      </c>
      <c r="H27" s="102">
        <f>countif(INDIRECT("'"&amp;A27&amp;"'!"&amp;"D2:D100"), "Fail")</f>
        <v/>
      </c>
      <c r="I27" s="105">
        <f>countif(INDIRECT("'"&amp;A27&amp;"'!"&amp;"D2:D100"), "N/A")</f>
        <v/>
      </c>
      <c r="J27" s="107">
        <f>countif(INDIRECT("'"&amp;A27&amp;"'!"&amp;"D2:D100"), "Blocking")</f>
        <v/>
      </c>
      <c r="K27" s="109">
        <f>countif(INDIRECT("'"&amp;A27&amp;"'!"&amp;"D2:D100"), "")</f>
        <v/>
      </c>
      <c r="L27" s="116">
        <f>sum(G27:K27)</f>
        <v/>
      </c>
      <c r="M27" s="97" t="n"/>
      <c r="N27" s="116">
        <f>IFERROR(__xludf.DUMMYFUNCTION("TRANSPOSE(UNIQUE( FILTER( INDIRECT(""'""&amp;$A27&amp;""'!""&amp;""F9:F100"") , NOT(ISBLANK(INDIRECT(""'""&amp;$A27&amp;""'!""&amp;""F9:F100""))) ) ))"),"#N/A")</f>
        <v/>
      </c>
      <c r="O27" s="116" t="n"/>
      <c r="P27" s="116" t="n"/>
      <c r="Q27" s="116" t="n"/>
      <c r="R27" s="116" t="n"/>
    </row>
    <row r="28">
      <c r="A28" s="84">
        <f>sheetName(18)</f>
        <v/>
      </c>
      <c r="B28" s="111" t="n"/>
      <c r="C28" s="116" t="inlineStr">
        <is>
          <t xml:space="preserve">Core </t>
        </is>
      </c>
      <c r="D28" s="132" t="n"/>
      <c r="E28" s="132" t="n"/>
      <c r="F28" s="132" t="n"/>
      <c r="G28" s="100">
        <f>countif(INDIRECT("'"&amp;A28&amp;"'!"&amp;"D2:D100"), "Pass")</f>
        <v/>
      </c>
      <c r="H28" s="102">
        <f>countif(INDIRECT("'"&amp;A28&amp;"'!"&amp;"D2:D100"), "Fail")</f>
        <v/>
      </c>
      <c r="I28" s="105">
        <f>countif(INDIRECT("'"&amp;A28&amp;"'!"&amp;"D2:D100"), "N/A")</f>
        <v/>
      </c>
      <c r="J28" s="107">
        <f>countif(INDIRECT("'"&amp;A28&amp;"'!"&amp;"D2:D100"), "Blocking")</f>
        <v/>
      </c>
      <c r="K28" s="109">
        <f>countif(INDIRECT("'"&amp;A28&amp;"'!"&amp;"D2:D100"), "")</f>
        <v/>
      </c>
      <c r="L28" s="116">
        <f>sum(G28:K28)</f>
        <v/>
      </c>
      <c r="M28" s="97" t="n"/>
      <c r="N28" s="116">
        <f>IFERROR(__xludf.DUMMYFUNCTION("TRANSPOSE(UNIQUE( FILTER( INDIRECT(""'""&amp;$A28&amp;""'!""&amp;""F8:F100"") , NOT(ISBLANK(INDIRECT(""'""&amp;$A28&amp;""'!""&amp;""F8:F100""))) ) ))"),"#N/A")</f>
        <v/>
      </c>
      <c r="O28" s="116" t="n"/>
      <c r="P28" s="116" t="n"/>
      <c r="Q28" s="116" t="n"/>
      <c r="R28" s="116" t="n"/>
    </row>
    <row r="29">
      <c r="A29" s="84">
        <f>sheetName(19)</f>
        <v/>
      </c>
      <c r="B29" s="111" t="n"/>
      <c r="C29" s="116" t="inlineStr">
        <is>
          <t xml:space="preserve">Core </t>
        </is>
      </c>
      <c r="D29" s="132" t="n"/>
      <c r="E29" s="132" t="n"/>
      <c r="F29" s="132" t="n"/>
      <c r="G29" s="100">
        <f>countif(INDIRECT("'"&amp;A29&amp;"'!"&amp;"D2:D100"), "Pass")</f>
        <v/>
      </c>
      <c r="H29" s="102">
        <f>countif(INDIRECT("'"&amp;A29&amp;"'!"&amp;"D2:D100"), "Fail")</f>
        <v/>
      </c>
      <c r="I29" s="105">
        <f>countif(INDIRECT("'"&amp;A29&amp;"'!"&amp;"D2:D100"), "N/A")</f>
        <v/>
      </c>
      <c r="J29" s="107">
        <f>countif(INDIRECT("'"&amp;A29&amp;"'!"&amp;"D2:D100"), "Blocking")</f>
        <v/>
      </c>
      <c r="K29" s="109">
        <f>countif(INDIRECT("'"&amp;A29&amp;"'!"&amp;"D2:D100"), "")</f>
        <v/>
      </c>
      <c r="L29" s="116">
        <f>sum(G29:K29)</f>
        <v/>
      </c>
      <c r="M29" s="97" t="n"/>
      <c r="N29" s="116">
        <f>IFERROR(__xludf.DUMMYFUNCTION("TRANSPOSE(UNIQUE( FILTER( INDIRECT(""'""&amp;$A29&amp;""'!""&amp;""F8:F100"") , NOT(ISBLANK(INDIRECT(""'""&amp;$A29&amp;""'!""&amp;""F8:F100""))) ) ))"),"#N/A")</f>
        <v/>
      </c>
      <c r="O29" s="116" t="n"/>
      <c r="P29" s="116" t="n"/>
      <c r="Q29" s="116" t="n"/>
      <c r="R29" s="116" t="n"/>
    </row>
    <row r="30">
      <c r="A30" s="84">
        <f>sheetName(20)</f>
        <v/>
      </c>
      <c r="B30" s="111" t="n"/>
      <c r="C30" s="116" t="inlineStr">
        <is>
          <t xml:space="preserve">Core </t>
        </is>
      </c>
      <c r="D30" s="132" t="n"/>
      <c r="E30" s="132" t="n"/>
      <c r="F30" s="132" t="n"/>
      <c r="G30" s="100">
        <f>countif(INDIRECT("'"&amp;A30&amp;"'!"&amp;"D2:D100"), "Pass")</f>
        <v/>
      </c>
      <c r="H30" s="102">
        <f>countif(INDIRECT("'"&amp;A30&amp;"'!"&amp;"D2:D100"), "Fail")</f>
        <v/>
      </c>
      <c r="I30" s="105">
        <f>countif(INDIRECT("'"&amp;A30&amp;"'!"&amp;"D2:D100"), "N/A")</f>
        <v/>
      </c>
      <c r="J30" s="107">
        <f>countif(INDIRECT("'"&amp;A30&amp;"'!"&amp;"D2:D100"), "Blocking")</f>
        <v/>
      </c>
      <c r="K30" s="109">
        <f>countif(INDIRECT("'"&amp;A30&amp;"'!"&amp;"D2:D100"), "")</f>
        <v/>
      </c>
      <c r="L30" s="116">
        <f>sum(G30:K30)</f>
        <v/>
      </c>
      <c r="M30" s="97" t="n"/>
      <c r="N30" s="116">
        <f>IFERROR(__xludf.DUMMYFUNCTION("TRANSPOSE(UNIQUE( FILTER( INDIRECT(""'""&amp;$A30&amp;""'!""&amp;""F8:F100"") , NOT(ISBLANK(INDIRECT(""'""&amp;$A30&amp;""'!""&amp;""F8:F100""))) ) ))"),"#N/A")</f>
        <v/>
      </c>
      <c r="O30" s="116" t="n"/>
      <c r="P30" s="116" t="n"/>
      <c r="Q30" s="116" t="n"/>
      <c r="R30" s="116" t="n"/>
    </row>
    <row r="31">
      <c r="A31" s="84">
        <f>sheetName(21)</f>
        <v/>
      </c>
      <c r="B31" s="111" t="n"/>
      <c r="C31" s="116" t="inlineStr">
        <is>
          <t xml:space="preserve">Core </t>
        </is>
      </c>
      <c r="D31" s="132" t="n"/>
      <c r="E31" s="132" t="n"/>
      <c r="F31" s="132" t="n"/>
      <c r="G31" s="100">
        <f>countif(INDIRECT("'"&amp;A31&amp;"'!"&amp;"D2:D100"), "Pass")</f>
        <v/>
      </c>
      <c r="H31" s="102">
        <f>countif(INDIRECT("'"&amp;A31&amp;"'!"&amp;"D2:D100"), "Fail")</f>
        <v/>
      </c>
      <c r="I31" s="105">
        <f>countif(INDIRECT("'"&amp;A31&amp;"'!"&amp;"D2:D100"), "N/A")</f>
        <v/>
      </c>
      <c r="J31" s="107">
        <f>countif(INDIRECT("'"&amp;A31&amp;"'!"&amp;"D2:D100"), "Blocking")</f>
        <v/>
      </c>
      <c r="K31" s="109">
        <f>countif(INDIRECT("'"&amp;A31&amp;"'!"&amp;"D2:D100"), "")</f>
        <v/>
      </c>
      <c r="L31" s="116">
        <f>sum(G31:K31)</f>
        <v/>
      </c>
      <c r="M31" s="97" t="n"/>
      <c r="N31" s="116">
        <f>IFERROR(__xludf.DUMMYFUNCTION("TRANSPOSE(UNIQUE( FILTER( INDIRECT(""'""&amp;$A31&amp;""'!""&amp;""F8:F100"") , NOT(ISBLANK(INDIRECT(""'""&amp;$A31&amp;""'!""&amp;""F8:F100""))) ) ))"),"#N/A")</f>
        <v/>
      </c>
      <c r="O31" s="116" t="n"/>
      <c r="P31" s="116" t="n"/>
      <c r="Q31" s="116" t="n"/>
      <c r="R31" s="116" t="n"/>
    </row>
    <row r="32">
      <c r="A32" s="84">
        <f>sheetName(22)</f>
        <v/>
      </c>
      <c r="B32" s="111" t="n"/>
      <c r="C32" s="116" t="inlineStr">
        <is>
          <t xml:space="preserve">Core </t>
        </is>
      </c>
      <c r="D32" s="132" t="n"/>
      <c r="E32" s="132" t="n"/>
      <c r="F32" s="132" t="n"/>
      <c r="G32" s="100">
        <f>countif(INDIRECT("'"&amp;A32&amp;"'!"&amp;"D2:D100"), "Pass")</f>
        <v/>
      </c>
      <c r="H32" s="102">
        <f>countif(INDIRECT("'"&amp;A32&amp;"'!"&amp;"D2:D100"), "Fail")</f>
        <v/>
      </c>
      <c r="I32" s="105">
        <f>countif(INDIRECT("'"&amp;A32&amp;"'!"&amp;"D2:D100"), "N/A")</f>
        <v/>
      </c>
      <c r="J32" s="107">
        <f>countif(INDIRECT("'"&amp;A32&amp;"'!"&amp;"D2:D100"), "Blocking")</f>
        <v/>
      </c>
      <c r="K32" s="109">
        <f>countif(INDIRECT("'"&amp;A32&amp;"'!"&amp;"D2:D100"), "")</f>
        <v/>
      </c>
      <c r="L32" s="116">
        <f>sum(G32:K32)</f>
        <v/>
      </c>
      <c r="M32" s="97" t="n"/>
      <c r="N32" s="116">
        <f>IFERROR(__xludf.DUMMYFUNCTION("TRANSPOSE(UNIQUE( FILTER( INDIRECT(""'""&amp;$A32&amp;""'!""&amp;""F8:F100"") , NOT(ISBLANK(INDIRECT(""'""&amp;$A32&amp;""'!""&amp;""F8:F100""))) ) ))"),"#N/A")</f>
        <v/>
      </c>
      <c r="O32" s="116" t="n"/>
      <c r="P32" s="116" t="n"/>
      <c r="Q32" s="116" t="n"/>
      <c r="R32" s="116" t="n"/>
    </row>
    <row r="33">
      <c r="A33" s="84">
        <f>sheetName(23)</f>
        <v/>
      </c>
      <c r="B33" s="111" t="n"/>
      <c r="C33" s="116" t="inlineStr">
        <is>
          <t xml:space="preserve">Core </t>
        </is>
      </c>
      <c r="D33" s="132" t="n"/>
      <c r="E33" s="132" t="n"/>
      <c r="F33" s="132" t="n"/>
      <c r="G33" s="100">
        <f>countif(INDIRECT("'"&amp;A33&amp;"'!"&amp;"D2:D100"), "Pass")</f>
        <v/>
      </c>
      <c r="H33" s="102">
        <f>countif(INDIRECT("'"&amp;A33&amp;"'!"&amp;"D2:D100"), "Fail")</f>
        <v/>
      </c>
      <c r="I33" s="105">
        <f>countif(INDIRECT("'"&amp;A33&amp;"'!"&amp;"D2:D100"), "N/A")</f>
        <v/>
      </c>
      <c r="J33" s="107">
        <f>countif(INDIRECT("'"&amp;A33&amp;"'!"&amp;"D2:D100"), "Blocking")</f>
        <v/>
      </c>
      <c r="K33" s="109">
        <f>countif(INDIRECT("'"&amp;A33&amp;"'!"&amp;"D2:D100"), "")</f>
        <v/>
      </c>
      <c r="L33" s="116">
        <f>sum(G33:K33)</f>
        <v/>
      </c>
      <c r="M33" s="97" t="n"/>
      <c r="N33" s="116">
        <f>IFERROR(__xludf.DUMMYFUNCTION("TRANSPOSE(UNIQUE( FILTER( INDIRECT(""'""&amp;$A33&amp;""'!""&amp;""F8:F100"") , NOT(ISBLANK(INDIRECT(""'""&amp;$A33&amp;""'!""&amp;""F8:F100""))) ) ))"),"#N/A")</f>
        <v/>
      </c>
      <c r="O33" s="116" t="n"/>
      <c r="P33" s="116" t="n"/>
      <c r="Q33" s="116" t="n"/>
      <c r="R33" s="116" t="n"/>
    </row>
    <row r="34">
      <c r="A34" s="84">
        <f>sheetName(24)</f>
        <v/>
      </c>
      <c r="B34" s="111" t="n"/>
      <c r="C34" s="116" t="inlineStr">
        <is>
          <t xml:space="preserve">Core </t>
        </is>
      </c>
      <c r="D34" s="132" t="n"/>
      <c r="E34" s="132" t="n"/>
      <c r="F34" s="132" t="n"/>
      <c r="G34" s="100">
        <f>countif(INDIRECT("'"&amp;A34&amp;"'!"&amp;"D2:D100"), "Pass")</f>
        <v/>
      </c>
      <c r="H34" s="102">
        <f>countif(INDIRECT("'"&amp;A34&amp;"'!"&amp;"D2:D100"), "Fail")</f>
        <v/>
      </c>
      <c r="I34" s="105">
        <f>countif(INDIRECT("'"&amp;A34&amp;"'!"&amp;"D2:D100"), "N/A")</f>
        <v/>
      </c>
      <c r="J34" s="107">
        <f>countif(INDIRECT("'"&amp;A34&amp;"'!"&amp;"D2:D100"), "Blocking")</f>
        <v/>
      </c>
      <c r="K34" s="109">
        <f>countif(INDIRECT("'"&amp;A34&amp;"'!"&amp;"D2:D100"), "")</f>
        <v/>
      </c>
      <c r="L34" s="116">
        <f>sum(G34:K34)</f>
        <v/>
      </c>
      <c r="M34" s="97" t="n"/>
      <c r="N34" s="116">
        <f>IFERROR(__xludf.DUMMYFUNCTION("TRANSPOSE(UNIQUE( FILTER( INDIRECT(""'""&amp;$A34&amp;""'!""&amp;""F8:F100"") , NOT(ISBLANK(INDIRECT(""'""&amp;$A34&amp;""'!""&amp;""F8:F100""))) ) ))"),"#N/A")</f>
        <v/>
      </c>
      <c r="O34" s="116" t="n"/>
      <c r="P34" s="116" t="n"/>
      <c r="Q34" s="116" t="n"/>
      <c r="R34" s="116" t="n"/>
    </row>
    <row r="35">
      <c r="A35" s="84">
        <f>sheetName(25)</f>
        <v/>
      </c>
      <c r="B35" s="111" t="n"/>
      <c r="C35" s="116" t="inlineStr">
        <is>
          <t xml:space="preserve">Core </t>
        </is>
      </c>
      <c r="D35" s="132" t="n"/>
      <c r="E35" s="132" t="n"/>
      <c r="F35" s="132" t="n"/>
      <c r="G35" s="100">
        <f>countif(INDIRECT("'"&amp;A35&amp;"'!"&amp;"D2:D100"), "Pass")</f>
        <v/>
      </c>
      <c r="H35" s="102">
        <f>countif(INDIRECT("'"&amp;A35&amp;"'!"&amp;"D2:D100"), "Fail")</f>
        <v/>
      </c>
      <c r="I35" s="105">
        <f>countif(INDIRECT("'"&amp;A35&amp;"'!"&amp;"D2:D100"), "N/A")</f>
        <v/>
      </c>
      <c r="J35" s="107">
        <f>countif(INDIRECT("'"&amp;A35&amp;"'!"&amp;"D2:D100"), "Blocking")</f>
        <v/>
      </c>
      <c r="K35" s="109">
        <f>countif(INDIRECT("'"&amp;A35&amp;"'!"&amp;"D2:D100"), "")</f>
        <v/>
      </c>
      <c r="L35" s="116">
        <f>sum(G35:K35)</f>
        <v/>
      </c>
      <c r="M35" s="97" t="n"/>
      <c r="N35" s="116">
        <f>IFERROR(__xludf.DUMMYFUNCTION("TRANSPOSE(UNIQUE( FILTER( INDIRECT(""'""&amp;$A35&amp;""'!""&amp;""F8:F100"") , NOT(ISBLANK(INDIRECT(""'""&amp;$A35&amp;""'!""&amp;""F8:F100""))) ) ))"),"#N/A")</f>
        <v/>
      </c>
      <c r="O35" s="116" t="n"/>
      <c r="P35" s="116" t="n"/>
      <c r="Q35" s="116" t="n"/>
      <c r="R35" s="116" t="n"/>
    </row>
    <row r="36">
      <c r="A36" s="84">
        <f>sheetName(26)</f>
        <v/>
      </c>
      <c r="B36" s="111" t="n"/>
      <c r="C36" s="116" t="inlineStr">
        <is>
          <t xml:space="preserve">Core </t>
        </is>
      </c>
      <c r="D36" s="132" t="n"/>
      <c r="E36" s="132" t="n"/>
      <c r="F36" s="132" t="n"/>
      <c r="G36" s="100">
        <f>countif(INDIRECT("'"&amp;A36&amp;"'!"&amp;"D2:D100"), "Pass")</f>
        <v/>
      </c>
      <c r="H36" s="102">
        <f>countif(INDIRECT("'"&amp;A36&amp;"'!"&amp;"D2:D100"), "Fail")</f>
        <v/>
      </c>
      <c r="I36" s="105">
        <f>countif(INDIRECT("'"&amp;A36&amp;"'!"&amp;"D2:D100"), "N/A")</f>
        <v/>
      </c>
      <c r="J36" s="107">
        <f>countif(INDIRECT("'"&amp;A36&amp;"'!"&amp;"D2:D100"), "Blocking")</f>
        <v/>
      </c>
      <c r="K36" s="109">
        <f>countif(INDIRECT("'"&amp;A36&amp;"'!"&amp;"D2:D100"), "")</f>
        <v/>
      </c>
      <c r="L36" s="116">
        <f>sum(G36:K36)</f>
        <v/>
      </c>
      <c r="M36" s="97" t="n"/>
      <c r="N36" s="116">
        <f>IFERROR(__xludf.DUMMYFUNCTION("TRANSPOSE(UNIQUE( FILTER( INDIRECT(""'""&amp;$A36&amp;""'!""&amp;""F8:F100"") , NOT(ISBLANK(INDIRECT(""'""&amp;$A36&amp;""'!""&amp;""F8:F100""))) ) ))"),"#N/A")</f>
        <v/>
      </c>
      <c r="O36" s="116" t="n"/>
      <c r="P36" s="116" t="n"/>
      <c r="Q36" s="116" t="n"/>
      <c r="R36" s="116" t="n"/>
    </row>
    <row r="37">
      <c r="A37" s="84">
        <f>sheetName(27)</f>
        <v/>
      </c>
      <c r="B37" s="111" t="n"/>
      <c r="C37" s="116" t="inlineStr">
        <is>
          <t xml:space="preserve">Core </t>
        </is>
      </c>
      <c r="D37" s="132" t="n"/>
      <c r="E37" s="132" t="n"/>
      <c r="F37" s="132" t="n"/>
      <c r="G37" s="100">
        <f>countif(INDIRECT("'"&amp;A37&amp;"'!"&amp;"D2:D100"), "Pass")</f>
        <v/>
      </c>
      <c r="H37" s="102">
        <f>countif(INDIRECT("'"&amp;A37&amp;"'!"&amp;"D2:D100"), "Fail")</f>
        <v/>
      </c>
      <c r="I37" s="105">
        <f>countif(INDIRECT("'"&amp;A37&amp;"'!"&amp;"D2:D100"), "N/A")</f>
        <v/>
      </c>
      <c r="J37" s="107">
        <f>countif(INDIRECT("'"&amp;A37&amp;"'!"&amp;"D2:D100"), "Blocking")</f>
        <v/>
      </c>
      <c r="K37" s="109">
        <f>countif(INDIRECT("'"&amp;A37&amp;"'!"&amp;"D2:D100"), "")</f>
        <v/>
      </c>
      <c r="L37" s="116">
        <f>sum(G37:K37)</f>
        <v/>
      </c>
      <c r="M37" s="97" t="n"/>
      <c r="N37" s="116">
        <f>IFERROR(__xludf.DUMMYFUNCTION("TRANSPOSE(UNIQUE( FILTER( INDIRECT(""'""&amp;$A37&amp;""'!""&amp;""F8:F100"") , NOT(ISBLANK(INDIRECT(""'""&amp;$A37&amp;""'!""&amp;""F8:F100""))) ) ))"),"Verify the linked ticket during the actual release cycle")</f>
        <v/>
      </c>
      <c r="O37" s="116" t="n"/>
      <c r="P37" s="116" t="n"/>
      <c r="Q37" s="116" t="n"/>
      <c r="R37" s="116" t="n"/>
    </row>
    <row r="38">
      <c r="A38" s="84">
        <f>sheetName(28)</f>
        <v/>
      </c>
      <c r="B38" s="111" t="n"/>
      <c r="C38" s="116" t="inlineStr">
        <is>
          <t xml:space="preserve">Core </t>
        </is>
      </c>
      <c r="D38" s="132" t="n"/>
      <c r="E38" s="132" t="n"/>
      <c r="F38" s="132" t="n"/>
      <c r="G38" s="100">
        <f>countif(INDIRECT("'"&amp;A38&amp;"'!"&amp;"D2:D100"), "Pass")</f>
        <v/>
      </c>
      <c r="H38" s="102">
        <f>countif(INDIRECT("'"&amp;A38&amp;"'!"&amp;"D2:D100"), "Fail")</f>
        <v/>
      </c>
      <c r="I38" s="105">
        <f>countif(INDIRECT("'"&amp;A38&amp;"'!"&amp;"D2:D100"), "N/A")</f>
        <v/>
      </c>
      <c r="J38" s="107">
        <f>countif(INDIRECT("'"&amp;A38&amp;"'!"&amp;"D2:D100"), "Blocking")</f>
        <v/>
      </c>
      <c r="K38" s="109">
        <f>countif(INDIRECT("'"&amp;A38&amp;"'!"&amp;"D2:D100"), "")</f>
        <v/>
      </c>
      <c r="L38" s="116">
        <f>sum(G38:K38)</f>
        <v/>
      </c>
      <c r="M38" s="97" t="n"/>
      <c r="N38" s="205">
        <f>IFERROR(__xludf.DUMMYFUNCTION("TRANSPOSE(UNIQUE( FILTER( INDIRECT(""'""&amp;$A38&amp;""'!""&amp;""F8:F100"") , NOT(ISBLANK(INDIRECT(""'""&amp;$A38&amp;""'!""&amp;""F8:F100""))) ) ))"),"This support FF will enable user to see the last sync token.")</f>
        <v/>
      </c>
      <c r="O38" s="205">
        <f>IFERROR(__xludf.DUMMYFUNCTION("""COMPUTED_VALUE"""),"NS: Check for all diff questions types and upload image, audio, video, document and signature. 
Note that we were unable to procure files with extension 3gp2, mpg4, qcp hence they are unavailable in the linked Media Files folder.
Feel free to skip these "&amp;"(or try and find at your level)")</f>
        <v/>
      </c>
      <c r="P38" s="116" t="n"/>
      <c r="Q38" s="116" t="n"/>
      <c r="R38" s="116" t="n"/>
    </row>
    <row r="39">
      <c r="A39" s="84">
        <f>sheetName(29)</f>
        <v/>
      </c>
      <c r="B39" s="111" t="n"/>
      <c r="C39" s="116" t="inlineStr">
        <is>
          <t>Non-Core</t>
        </is>
      </c>
      <c r="D39" s="132" t="n"/>
      <c r="E39" s="116" t="inlineStr">
        <is>
          <t>Dimagi Internal</t>
        </is>
      </c>
      <c r="F39" s="132" t="n"/>
      <c r="G39" s="100">
        <f>countif(INDIRECT("'"&amp;A39&amp;"'!"&amp;"D2:D100"), "Pass")</f>
        <v/>
      </c>
      <c r="H39" s="102">
        <f>countif(INDIRECT("'"&amp;A39&amp;"'!"&amp;"D2:D100"), "Fail")</f>
        <v/>
      </c>
      <c r="I39" s="105">
        <f>countif(INDIRECT("'"&amp;A39&amp;"'!"&amp;"D2:D100"), "N/A")</f>
        <v/>
      </c>
      <c r="J39" s="107">
        <f>countif(INDIRECT("'"&amp;A39&amp;"'!"&amp;"D2:D100"), "Blocking")</f>
        <v/>
      </c>
      <c r="K39" s="109">
        <f>countif(INDIRECT("'"&amp;A39&amp;"'!"&amp;"D2:D100"), "")</f>
        <v/>
      </c>
      <c r="L39" s="116">
        <f>sum(G39:K39)</f>
        <v/>
      </c>
      <c r="M39" s="97" t="n"/>
      <c r="N39" s="116">
        <f>IFERROR(__xludf.DUMMYFUNCTION("TRANSPOSE(UNIQUE( FILTER( INDIRECT(""'""&amp;$A39&amp;""'!""&amp;""F8:F100"") , NOT(ISBLANK(INDIRECT(""'""&amp;$A39&amp;""'!""&amp;""F8:F100""))) ) ))"),"#N/A")</f>
        <v/>
      </c>
      <c r="O39" s="116" t="n"/>
      <c r="P39" s="116" t="n"/>
      <c r="Q39" s="116" t="n"/>
      <c r="R39" s="116" t="n"/>
    </row>
    <row r="40">
      <c r="A40" s="84">
        <f>sheetName(30)</f>
        <v/>
      </c>
      <c r="B40" s="111" t="n"/>
      <c r="C40" s="116" t="inlineStr">
        <is>
          <t xml:space="preserve">Core </t>
        </is>
      </c>
      <c r="D40" s="132" t="n"/>
      <c r="E40" s="116" t="inlineStr">
        <is>
          <t>Dimagi Internal</t>
        </is>
      </c>
      <c r="F40" s="132" t="n"/>
      <c r="G40" s="100">
        <f>countif(INDIRECT("'"&amp;A40&amp;"'!"&amp;"D2:D100"), "Pass")</f>
        <v/>
      </c>
      <c r="H40" s="102">
        <f>countif(INDIRECT("'"&amp;A40&amp;"'!"&amp;"D2:D100"), "Fail")</f>
        <v/>
      </c>
      <c r="I40" s="105">
        <f>countif(INDIRECT("'"&amp;A40&amp;"'!"&amp;"D2:D100"), "N/A")</f>
        <v/>
      </c>
      <c r="J40" s="107">
        <f>countif(INDIRECT("'"&amp;A40&amp;"'!"&amp;"D2:D100"), "Blocking")</f>
        <v/>
      </c>
      <c r="K40" s="109">
        <f>countif(INDIRECT("'"&amp;A40&amp;"'!"&amp;"D2:D100"), "")</f>
        <v/>
      </c>
      <c r="L40" s="116">
        <f>sum(G40:K40)</f>
        <v/>
      </c>
      <c r="M40" s="97" t="n"/>
      <c r="N40" s="116">
        <f>IFERROR(__xludf.DUMMYFUNCTION("TRANSPOSE(UNIQUE( FILTER( INDIRECT(""'""&amp;$A40&amp;""'!""&amp;""F8:F100"") , NOT(ISBLANK(INDIRECT(""'""&amp;$A40&amp;""'!""&amp;""F8:F100""))) ) ))"),"#N/A")</f>
        <v/>
      </c>
      <c r="O40" s="116" t="n"/>
      <c r="P40" s="116" t="n"/>
      <c r="Q40" s="116" t="n"/>
      <c r="R40" s="116" t="n"/>
    </row>
    <row r="41">
      <c r="A41" s="84">
        <f>sheetName(31)</f>
        <v/>
      </c>
      <c r="B41" s="111" t="n"/>
      <c r="C41" s="116" t="inlineStr">
        <is>
          <t xml:space="preserve">Core </t>
        </is>
      </c>
      <c r="D41" s="132" t="n"/>
      <c r="E41" s="132" t="n"/>
      <c r="F41" s="132" t="n"/>
      <c r="G41" s="100">
        <f>countif(INDIRECT("'"&amp;A41&amp;"'!"&amp;"D2:D100"), "Pass")</f>
        <v/>
      </c>
      <c r="H41" s="102">
        <f>countif(INDIRECT("'"&amp;A41&amp;"'!"&amp;"D2:D100"), "Fail")</f>
        <v/>
      </c>
      <c r="I41" s="105">
        <f>countif(INDIRECT("'"&amp;A41&amp;"'!"&amp;"D2:D100"), "N/A")</f>
        <v/>
      </c>
      <c r="J41" s="107">
        <f>countif(INDIRECT("'"&amp;A41&amp;"'!"&amp;"D2:D100"), "Blocking")</f>
        <v/>
      </c>
      <c r="K41" s="109">
        <f>countif(INDIRECT("'"&amp;A41&amp;"'!"&amp;"D2:D100"), "")</f>
        <v/>
      </c>
      <c r="L41" s="116">
        <f>sum(G41:K41)</f>
        <v/>
      </c>
      <c r="M41" s="97" t="n"/>
      <c r="N41" s="116">
        <f>IFERROR(__xludf.DUMMYFUNCTION("TRANSPOSE(UNIQUE( FILTER( INDIRECT(""'""&amp;$A41&amp;""'!""&amp;""F8:F100"") , NOT(ISBLANK(INDIRECT(""'""&amp;$A41&amp;""'!""&amp;""F8:F100""))) ) ))"),"Only superusers are expected to see the non-released versions.")</f>
        <v/>
      </c>
      <c r="O41" s="217">
        <f>IFERROR(__xludf.DUMMYFUNCTION("""COMPUTED_VALUE"""),"QA-3848")</f>
        <v/>
      </c>
      <c r="P41" s="116" t="n"/>
      <c r="Q41" s="116" t="n"/>
      <c r="R41" s="116" t="n"/>
    </row>
    <row r="42">
      <c r="A42" s="84">
        <f>sheetName(32)</f>
        <v/>
      </c>
      <c r="B42" s="111" t="n"/>
      <c r="C42" s="116" t="inlineStr">
        <is>
          <t>Non-Core</t>
        </is>
      </c>
      <c r="D42" s="132" t="n"/>
      <c r="E42" s="132" t="n"/>
      <c r="F42" s="132" t="n"/>
      <c r="G42" s="100" t="n"/>
      <c r="H42" s="102" t="n"/>
      <c r="I42" s="105" t="n"/>
      <c r="J42" s="107" t="n"/>
      <c r="K42" s="109" t="n"/>
      <c r="L42" s="116" t="n"/>
      <c r="M42" s="97" t="n"/>
      <c r="N42" s="116" t="n"/>
      <c r="O42" s="116" t="n"/>
      <c r="P42" s="116" t="n"/>
      <c r="Q42" s="116" t="n"/>
      <c r="R42" s="116" t="n"/>
    </row>
    <row r="43">
      <c r="A43" s="84">
        <f>sheetName(33)</f>
        <v/>
      </c>
      <c r="B43" s="111" t="n"/>
      <c r="C43" s="116" t="inlineStr">
        <is>
          <t>Non-Core</t>
        </is>
      </c>
      <c r="D43" s="132" t="n"/>
      <c r="E43" s="132" t="n"/>
      <c r="F43" s="132" t="n"/>
      <c r="G43" s="100" t="n"/>
      <c r="H43" s="102" t="n"/>
      <c r="I43" s="105" t="n"/>
      <c r="J43" s="107" t="n"/>
      <c r="K43" s="109" t="n"/>
      <c r="L43" s="116" t="n"/>
      <c r="M43" s="97" t="n"/>
      <c r="N43" s="116" t="n"/>
      <c r="O43" s="116" t="n"/>
      <c r="P43" s="116" t="n"/>
      <c r="Q43" s="116" t="n"/>
      <c r="R43" s="116" t="n"/>
    </row>
    <row r="44">
      <c r="A44" s="84">
        <f>sheetName(34)</f>
        <v/>
      </c>
      <c r="B44" s="111" t="n"/>
      <c r="C44" s="116" t="inlineStr">
        <is>
          <t>Non-Core</t>
        </is>
      </c>
      <c r="D44" s="132" t="n"/>
      <c r="E44" s="132" t="n"/>
      <c r="F44" s="132" t="n"/>
      <c r="G44" s="100">
        <f t="array" ref="G44">countif(INDIRECT("'"&amp;A44&amp;"'!"&amp;"D2:D100"), "Pass")</f>
        <v/>
      </c>
      <c r="H44" s="102">
        <f t="array" ref="H44">countif(INDIRECT("'"&amp;A44&amp;"'!"&amp;"D2:D100"), "Fail")</f>
        <v/>
      </c>
      <c r="I44" s="105">
        <f t="array" ref="I44">countif(INDIRECT("'"&amp;A44&amp;"'!"&amp;"D2:D100"), "N/A")</f>
        <v/>
      </c>
      <c r="J44" s="107">
        <f t="array" ref="J44">countif(INDIRECT("'"&amp;A44&amp;"'!"&amp;"D2:D100"), "Blocking")</f>
        <v/>
      </c>
      <c r="K44" s="109">
        <f t="array" ref="K44">countif(INDIRECT("'"&amp;A44&amp;"'!"&amp;"D2:D100"), "")</f>
        <v/>
      </c>
      <c r="L44" s="116">
        <f>sum(G44:K44)</f>
        <v/>
      </c>
      <c r="M44" s="97" t="n"/>
      <c r="N44" s="116">
        <f>IFERROR(__xludf.DUMMYFUNCTION("TRANSPOSE(UNIQUE( FILTER( INDIRECT(""'""&amp;$A44&amp;""'!""&amp;""F8:F100"") , NOT(ISBLANK(INDIRECT(""'""&amp;$A44&amp;""'!""&amp;""F8:F100""))) ) ))"),"Note: This functionality works as expected only when the device has default  'Google Text to Speech' engine’ installed.( does not work for other TTS engine) 
Below ticket to update the confluence content :
https://dimagi.atlassian.net/browse/SAAS-15846")</f>
        <v/>
      </c>
      <c r="O44" s="116" t="n"/>
      <c r="P44" s="116" t="n"/>
      <c r="Q44" s="116" t="n"/>
      <c r="R44" s="116" t="n"/>
    </row>
    <row r="45">
      <c r="A45" s="84">
        <f>sheetName(35)</f>
        <v/>
      </c>
      <c r="B45" s="111" t="n"/>
      <c r="C45" s="116" t="inlineStr">
        <is>
          <t>Non-Core</t>
        </is>
      </c>
      <c r="D45" s="132" t="n"/>
      <c r="E45" s="132" t="n"/>
      <c r="F45" s="132" t="n"/>
      <c r="G45" s="100" t="n"/>
      <c r="H45" s="102" t="n"/>
      <c r="I45" s="105" t="n"/>
      <c r="J45" s="107" t="n"/>
      <c r="K45" s="109" t="n"/>
      <c r="L45" s="116" t="n"/>
      <c r="M45" s="97" t="n"/>
      <c r="N45" s="116" t="n"/>
      <c r="O45" s="116" t="n"/>
      <c r="P45" s="116" t="n"/>
      <c r="Q45" s="116" t="n"/>
      <c r="R45" s="116" t="n"/>
    </row>
    <row r="46">
      <c r="A46" s="84">
        <f>sheetName(36)</f>
        <v/>
      </c>
      <c r="B46" s="111" t="n"/>
      <c r="C46" s="116" t="inlineStr">
        <is>
          <t>Non-Core</t>
        </is>
      </c>
      <c r="D46" s="132" t="n"/>
      <c r="E46" s="132" t="n"/>
      <c r="F46" s="132" t="n"/>
      <c r="G46" s="100">
        <f>countif(INDIRECT("'"&amp;A46&amp;"'!"&amp;"D2:D100"), "Pass")</f>
        <v/>
      </c>
      <c r="H46" s="102">
        <f>countif(INDIRECT("'"&amp;A46&amp;"'!"&amp;"D2:D100"), "Fail")</f>
        <v/>
      </c>
      <c r="I46" s="105">
        <f>countif(INDIRECT("'"&amp;A46&amp;"'!"&amp;"D2:D100"), "N/A")</f>
        <v/>
      </c>
      <c r="J46" s="107">
        <f>countif(INDIRECT("'"&amp;A46&amp;"'!"&amp;"D2:D100"), "Blocking")</f>
        <v/>
      </c>
      <c r="K46" s="109">
        <f>countif(INDIRECT("'"&amp;A46&amp;"'!"&amp;"D2:D100"), "")</f>
        <v/>
      </c>
      <c r="L46" s="116">
        <f>sum(G46:K46)</f>
        <v/>
      </c>
      <c r="M46" s="97" t="n"/>
      <c r="N46" s="116">
        <f>IFERROR(__xludf.DUMMYFUNCTION("TRANSPOSE(UNIQUE( FILTER( INDIRECT(""'""&amp;$A46&amp;""'!""&amp;""F8:F100"") , NOT(ISBLANK(INDIRECT(""'""&amp;$A46&amp;""'!""&amp;""F8:F100""))) ) ))"),"Note: 
Here the Incomplete Forms are not shown directly. Its seen under option 'Saved Forms' and filter update to 'Only Incomplete Forms'  then will show the incomplete forms.")</f>
        <v/>
      </c>
      <c r="O46" s="116" t="n"/>
      <c r="P46" s="116" t="n"/>
      <c r="Q46" s="116" t="n"/>
      <c r="R46" s="116" t="n"/>
    </row>
    <row r="47">
      <c r="A47" s="84">
        <f>sheetName(37)</f>
        <v/>
      </c>
      <c r="B47" s="111" t="n"/>
      <c r="C47" s="116" t="inlineStr">
        <is>
          <t>Non-Core</t>
        </is>
      </c>
      <c r="D47" s="132" t="n"/>
      <c r="E47" s="132" t="n"/>
      <c r="F47" s="132" t="n"/>
      <c r="G47" s="100">
        <f>countif(INDIRECT("'"&amp;A47&amp;"'!"&amp;"D2:D100"), "Pass")</f>
        <v/>
      </c>
      <c r="H47" s="102">
        <f>countif(INDIRECT("'"&amp;A47&amp;"'!"&amp;"D2:D100"), "Fail")</f>
        <v/>
      </c>
      <c r="I47" s="105">
        <f>countif(INDIRECT("'"&amp;A47&amp;"'!"&amp;"D2:D100"), "N/A")</f>
        <v/>
      </c>
      <c r="J47" s="107">
        <f>countif(INDIRECT("'"&amp;A47&amp;"'!"&amp;"D2:D100"), "Blocking")</f>
        <v/>
      </c>
      <c r="K47" s="109">
        <f>countif(INDIRECT("'"&amp;A47&amp;"'!"&amp;"D2:D100"), "")</f>
        <v/>
      </c>
      <c r="L47" s="116">
        <f>sum(G47:K47)</f>
        <v/>
      </c>
      <c r="M47" s="97" t="n"/>
      <c r="N47" s="116">
        <f>IFERROR(__xludf.DUMMYFUNCTION("TRANSPOSE(UNIQUE( FILTER( INDIRECT(""'""&amp;$A47&amp;""'!""&amp;""F8:F100"") , NOT(ISBLANK(INDIRECT(""'""&amp;$A47&amp;""'!""&amp;""F8:F100""))) ) ))"),"#N/A")</f>
        <v/>
      </c>
      <c r="O47" s="116" t="n"/>
      <c r="P47" s="116" t="n"/>
      <c r="Q47" s="116" t="n"/>
      <c r="R47" s="116" t="n"/>
    </row>
    <row r="48">
      <c r="A48" s="261">
        <f>sheetName(38)</f>
        <v/>
      </c>
      <c r="B48" s="111" t="n"/>
      <c r="C48" s="116" t="inlineStr">
        <is>
          <t>Non-Core</t>
        </is>
      </c>
      <c r="D48" s="132" t="n"/>
      <c r="E48" s="132" t="n"/>
      <c r="F48" s="132" t="n"/>
      <c r="G48" s="100">
        <f>countif(INDIRECT("'"&amp;A48&amp;"'!"&amp;"D2:D100"), "Pass")</f>
        <v/>
      </c>
      <c r="H48" s="102">
        <f>countif(INDIRECT("'"&amp;A48&amp;"'!"&amp;"D2:D100"), "Fail")</f>
        <v/>
      </c>
      <c r="I48" s="105">
        <f>countif(INDIRECT("'"&amp;A48&amp;"'!"&amp;"D2:D100"), "N/A")</f>
        <v/>
      </c>
      <c r="J48" s="107">
        <f>countif(INDIRECT("'"&amp;A48&amp;"'!"&amp;"D2:D100"), "Blocking")</f>
        <v/>
      </c>
      <c r="K48" s="109">
        <f>countif(INDIRECT("'"&amp;A48&amp;"'!"&amp;"D2:D100"), "")</f>
        <v/>
      </c>
      <c r="L48" s="116">
        <f>sum(G48:K48)</f>
        <v/>
      </c>
      <c r="M48" s="97" t="n"/>
      <c r="N48" s="116">
        <f>IFERROR(__xludf.DUMMYFUNCTION("TRANSPOSE(UNIQUE( FILTER( INDIRECT(""'""&amp;$A48&amp;""'!""&amp;""F8:F100"") , NOT(ISBLANK(INDIRECT(""'""&amp;$A48&amp;""'!""&amp;""F8:F100""))) ) ))"),"Ticket ID")</f>
        <v/>
      </c>
      <c r="O48" s="116" t="n"/>
      <c r="P48" s="116" t="n"/>
      <c r="Q48" s="116" t="n"/>
      <c r="R48" s="116" t="n"/>
    </row>
    <row r="49">
      <c r="A49" s="261">
        <f>sheetName(39)</f>
        <v/>
      </c>
      <c r="B49" s="111" t="n"/>
      <c r="C49" s="116" t="inlineStr">
        <is>
          <t xml:space="preserve">Core </t>
        </is>
      </c>
      <c r="D49" s="132" t="n"/>
      <c r="E49" s="132" t="n"/>
      <c r="F49" s="132" t="n"/>
      <c r="G49" s="100">
        <f>countif(INDIRECT("'"&amp;A49&amp;"'!"&amp;"D2:D100"), "Pass")</f>
        <v/>
      </c>
      <c r="H49" s="102">
        <f>countif(INDIRECT("'"&amp;A49&amp;"'!"&amp;"D2:D100"), "Fail")</f>
        <v/>
      </c>
      <c r="I49" s="105">
        <f>countif(INDIRECT("'"&amp;A49&amp;"'!"&amp;"D2:D100"), "N/A")</f>
        <v/>
      </c>
      <c r="J49" s="107">
        <f>countif(INDIRECT("'"&amp;A49&amp;"'!"&amp;"D2:D100"), "Blocking")</f>
        <v/>
      </c>
      <c r="K49" s="109">
        <f>countif(INDIRECT("'"&amp;A49&amp;"'!"&amp;"D2:D100"), "")</f>
        <v/>
      </c>
      <c r="L49" s="116" t="n"/>
      <c r="M49" s="97" t="n"/>
      <c r="N49" s="116" t="n"/>
      <c r="O49" s="116" t="n"/>
      <c r="P49" s="116" t="n"/>
      <c r="Q49" s="116" t="n"/>
      <c r="R49" s="116" t="n"/>
    </row>
    <row r="50">
      <c r="A50" s="649" t="inlineStr">
        <is>
          <t>Update these per execution of the plan</t>
        </is>
      </c>
      <c r="B50" s="639" t="n"/>
      <c r="C50" s="639" t="n"/>
      <c r="D50" s="639" t="n"/>
      <c r="E50" s="639" t="n"/>
      <c r="F50" s="638" t="n"/>
    </row>
    <row r="51">
      <c r="A51" s="267" t="inlineStr">
        <is>
          <t>Apps</t>
        </is>
      </c>
      <c r="B51" s="267" t="inlineStr">
        <is>
          <t>Special Instructions</t>
        </is>
      </c>
      <c r="C51" s="639" t="n"/>
      <c r="D51" s="638" t="n"/>
      <c r="E51" s="272" t="n"/>
    </row>
    <row r="52">
      <c r="A52" s="274" t="inlineStr">
        <is>
          <t>Basic Tests</t>
        </is>
      </c>
      <c r="B52" s="650" t="n"/>
      <c r="C52" s="636" t="n"/>
      <c r="D52" s="637" t="n"/>
      <c r="E52" s="97" t="n"/>
      <c r="F52" s="97" t="n"/>
    </row>
    <row r="53">
      <c r="A53" s="274" t="inlineStr">
        <is>
          <t>Update Test Alternative</t>
        </is>
      </c>
      <c r="B53" s="650" t="n"/>
      <c r="C53" s="636" t="n"/>
      <c r="D53" s="637" t="n"/>
      <c r="E53" s="97" t="n"/>
      <c r="F53" s="97" t="n"/>
    </row>
    <row r="54">
      <c r="A54" s="286" t="inlineStr">
        <is>
          <t>Multimedia</t>
        </is>
      </c>
      <c r="B54" s="650" t="n"/>
      <c r="C54" s="636" t="n"/>
      <c r="D54" s="637" t="n"/>
      <c r="E54" s="97" t="n"/>
      <c r="F54" s="97" t="n"/>
    </row>
    <row r="55">
      <c r="A55" s="286" t="inlineStr">
        <is>
          <t>NFC Test App</t>
        </is>
      </c>
      <c r="B55" s="650" t="n"/>
      <c r="C55" s="636" t="n"/>
      <c r="D55" s="637" t="n"/>
      <c r="E55" s="97" t="n"/>
      <c r="F55" s="97" t="n"/>
    </row>
    <row r="56">
      <c r="A56" s="286" t="inlineStr">
        <is>
          <t>Session Expiration Test</t>
        </is>
      </c>
      <c r="B56" s="650" t="n"/>
      <c r="C56" s="636" t="n"/>
      <c r="D56" s="637" t="n"/>
      <c r="E56" s="97" t="n"/>
      <c r="F56" s="97" t="n"/>
    </row>
    <row r="57">
      <c r="A57" s="289" t="inlineStr">
        <is>
          <t>Conditional Enum Case List</t>
        </is>
      </c>
      <c r="B57" s="650" t="n"/>
      <c r="C57" s="636" t="n"/>
      <c r="D57" s="637" t="n"/>
      <c r="E57" s="97" t="n"/>
      <c r="F57" s="97" t="n"/>
    </row>
    <row r="58">
      <c r="A58" s="286" t="inlineStr">
        <is>
          <t>Performance</t>
        </is>
      </c>
      <c r="B58" s="650" t="n"/>
      <c r="C58" s="636" t="n"/>
      <c r="D58" s="637" t="n"/>
      <c r="E58" s="97" t="n"/>
      <c r="F58" s="97" t="n"/>
    </row>
    <row r="59">
      <c r="A59" s="286" t="inlineStr">
        <is>
          <t>Date Widgets</t>
        </is>
      </c>
      <c r="B59" s="650" t="n"/>
      <c r="C59" s="636" t="n"/>
      <c r="D59" s="637" t="n"/>
      <c r="E59" s="97" t="n"/>
      <c r="F59" s="97" t="n"/>
    </row>
    <row r="60">
      <c r="A60" s="286" t="inlineStr">
        <is>
          <t>Other</t>
        </is>
      </c>
      <c r="B60" s="650" t="n"/>
      <c r="C60" s="636" t="n"/>
      <c r="D60" s="637" t="n"/>
      <c r="E60" s="97" t="n"/>
      <c r="F60" s="97" t="n"/>
    </row>
    <row r="61">
      <c r="A61" s="286" t="inlineStr">
        <is>
          <t>Right to Left Tests</t>
        </is>
      </c>
      <c r="B61" s="650" t="n"/>
      <c r="C61" s="636" t="n"/>
      <c r="D61" s="637" t="n"/>
      <c r="E61" s="97" t="n"/>
      <c r="F61" s="97" t="n"/>
    </row>
    <row r="62">
      <c r="A62" s="286" t="inlineStr">
        <is>
          <t>Recovery Measures</t>
        </is>
      </c>
      <c r="B62" s="651" t="inlineStr">
        <is>
          <t>Various. Refer to linked sheet.</t>
        </is>
      </c>
      <c r="C62" s="639" t="n"/>
      <c r="D62" s="638" t="n"/>
      <c r="E62" s="300" t="n"/>
      <c r="F62" s="97" t="n"/>
    </row>
    <row r="63">
      <c r="A63" s="286" t="inlineStr">
        <is>
          <t>Case Managements</t>
        </is>
      </c>
      <c r="B63" s="650" t="n"/>
      <c r="C63" s="636" t="n"/>
      <c r="D63" s="637" t="n"/>
      <c r="E63" s="97" t="n"/>
      <c r="F63" s="97" t="n"/>
    </row>
    <row r="64">
      <c r="A64" s="286" t="inlineStr">
        <is>
          <t>Updates Partial/Failed</t>
        </is>
      </c>
      <c r="B64" s="651" t="inlineStr">
        <is>
          <t>Various. Refer to linked sheet.</t>
        </is>
      </c>
      <c r="C64" s="639" t="n"/>
      <c r="D64" s="638" t="n"/>
      <c r="E64" s="300" t="n"/>
      <c r="F64" s="97" t="n"/>
    </row>
    <row r="65">
      <c r="A65" s="286" t="inlineStr">
        <is>
          <t>Rate Limits</t>
        </is>
      </c>
      <c r="B65" s="650" t="n"/>
      <c r="C65" s="636" t="n"/>
      <c r="D65" s="637" t="n"/>
      <c r="E65" s="97" t="n"/>
      <c r="F65" s="97" t="n"/>
    </row>
    <row r="66">
      <c r="A66" s="286" t="inlineStr">
        <is>
          <t>Mapbox</t>
        </is>
      </c>
      <c r="B66" s="650" t="n"/>
      <c r="C66" s="636" t="n"/>
      <c r="D66" s="637" t="n"/>
      <c r="E66" s="97" t="n"/>
      <c r="F66" s="97" t="n"/>
    </row>
    <row r="67">
      <c r="A67" s="327" t="inlineStr">
        <is>
          <t>Database Change</t>
        </is>
      </c>
      <c r="B67" s="650" t="n"/>
      <c r="C67" s="636" t="n"/>
      <c r="D67" s="637" t="n"/>
      <c r="E67" s="97" t="n"/>
      <c r="F67" s="97" t="n"/>
    </row>
    <row r="68">
      <c r="A68" s="327" t="inlineStr">
        <is>
          <t xml:space="preserve">Targeted Updates </t>
        </is>
      </c>
      <c r="B68" s="650" t="n"/>
      <c r="C68" s="636" t="n"/>
      <c r="D68" s="637" t="n"/>
      <c r="E68" s="97" t="n"/>
      <c r="F68" s="97" t="n"/>
    </row>
    <row r="69">
      <c r="A69" s="327" t="inlineStr">
        <is>
          <t>Root menu as Home screen</t>
        </is>
      </c>
      <c r="B69" s="650" t="n"/>
      <c r="C69" s="636" t="n"/>
      <c r="D69" s="637" t="n"/>
      <c r="E69" s="97" t="n"/>
      <c r="F69" s="97" t="n"/>
    </row>
    <row r="70">
      <c r="A70" s="327" t="inlineStr">
        <is>
          <t>Advanced Settings</t>
        </is>
      </c>
      <c r="B70" s="650" t="n"/>
      <c r="C70" s="636" t="n"/>
      <c r="D70" s="637" t="n"/>
      <c r="E70" s="97" t="n"/>
      <c r="F70" s="97" t="n"/>
    </row>
    <row r="71">
      <c r="A71" s="327" t="inlineStr">
        <is>
          <t>Lazy Videos</t>
        </is>
      </c>
      <c r="B71" s="650" t="n"/>
      <c r="C71" s="636" t="n"/>
      <c r="D71" s="637" t="n"/>
      <c r="E71" s="97" t="n"/>
      <c r="F71" s="97" t="n"/>
    </row>
    <row r="72">
      <c r="A72" s="327" t="inlineStr">
        <is>
          <t>Disable Filesize Warning</t>
        </is>
      </c>
      <c r="B72" s="650" t="n"/>
      <c r="C72" s="636" t="n"/>
      <c r="D72" s="637" t="n"/>
      <c r="E72" s="97" t="n"/>
      <c r="F72" s="97" t="n"/>
    </row>
    <row r="73">
      <c r="A73" s="327" t="inlineStr">
        <is>
          <t>External App Fixture Tests</t>
        </is>
      </c>
      <c r="B73" s="650" t="n"/>
      <c r="C73" s="636" t="n"/>
      <c r="D73" s="637" t="n"/>
      <c r="E73" s="97" t="n"/>
      <c r="F73" s="97" t="n"/>
    </row>
    <row r="74">
      <c r="A74" s="327" t="inlineStr">
        <is>
          <t>Large App</t>
        </is>
      </c>
      <c r="B74" s="650" t="n"/>
      <c r="C74" s="636" t="n"/>
      <c r="D74" s="637" t="n"/>
      <c r="E74" s="97" t="n"/>
      <c r="F74" s="97" t="n"/>
    </row>
    <row r="75">
      <c r="A75" s="327" t="inlineStr">
        <is>
          <t>Graphing</t>
        </is>
      </c>
      <c r="B75" s="650" t="n"/>
      <c r="C75" s="636" t="n"/>
      <c r="D75" s="637" t="n"/>
      <c r="E75" s="97" t="n"/>
      <c r="F75" s="97" t="n"/>
    </row>
  </sheetData>
  <mergeCells count="48">
    <mergeCell ref="K3:O3"/>
    <mergeCell ref="B60:D60"/>
    <mergeCell ref="B67:D67"/>
    <mergeCell ref="I6:J6"/>
    <mergeCell ref="B61:D61"/>
    <mergeCell ref="N11:R11"/>
    <mergeCell ref="I2:J2"/>
    <mergeCell ref="B8:D8"/>
    <mergeCell ref="B57:D57"/>
    <mergeCell ref="G11:K11"/>
    <mergeCell ref="B73:D73"/>
    <mergeCell ref="B4:G5"/>
    <mergeCell ref="A1:A4"/>
    <mergeCell ref="K5:O5"/>
    <mergeCell ref="A50:F50"/>
    <mergeCell ref="B53:D53"/>
    <mergeCell ref="B69:D69"/>
    <mergeCell ref="E8:F8"/>
    <mergeCell ref="E51:F51"/>
    <mergeCell ref="B74:D74"/>
    <mergeCell ref="B65:D65"/>
    <mergeCell ref="B68:D68"/>
    <mergeCell ref="B55:D55"/>
    <mergeCell ref="B51:D51"/>
    <mergeCell ref="B64:D64"/>
    <mergeCell ref="I3:J3"/>
    <mergeCell ref="F13:F14"/>
    <mergeCell ref="B63:D63"/>
    <mergeCell ref="K2:O2"/>
    <mergeCell ref="I5:J5"/>
    <mergeCell ref="B62:D62"/>
    <mergeCell ref="B75:D75"/>
    <mergeCell ref="B7:D7"/>
    <mergeCell ref="B54:D54"/>
    <mergeCell ref="B3:G3"/>
    <mergeCell ref="B72:D72"/>
    <mergeCell ref="B1:G2"/>
    <mergeCell ref="I4:J4"/>
    <mergeCell ref="B59:D59"/>
    <mergeCell ref="B66:D66"/>
    <mergeCell ref="E7:F7"/>
    <mergeCell ref="B71:D71"/>
    <mergeCell ref="B56:D56"/>
    <mergeCell ref="B58:D58"/>
    <mergeCell ref="B52:D52"/>
    <mergeCell ref="K6:O6"/>
    <mergeCell ref="B70:D70"/>
    <mergeCell ref="K4:O4"/>
  </mergeCells>
  <conditionalFormatting sqref="B13:B49">
    <cfRule type="cellIs" priority="1" operator="equal" dxfId="4">
      <formula>"Complete"</formula>
    </cfRule>
    <cfRule type="cellIs" priority="2" operator="equal" dxfId="5">
      <formula>"In Progress"</formula>
    </cfRule>
    <cfRule type="cellIs" priority="3" operator="equal" dxfId="6">
      <formula>"NA"</formula>
    </cfRule>
  </conditionalFormatting>
  <dataValidations count="4">
    <dataValidation sqref="C13" showDropDown="0" showInputMessage="0" showErrorMessage="1" allowBlank="1" type="list">
      <formula1>"Core,Non-Core"</formula1>
    </dataValidation>
    <dataValidation sqref="C14:C49" showDropDown="0" showInputMessage="0" showErrorMessage="1" allowBlank="1" type="list">
      <formula1>"Core ,Non-Core"</formula1>
    </dataValidation>
    <dataValidation sqref="B13:B49" showDropDown="0" showInputMessage="0" showErrorMessage="0" allowBlank="1" type="list">
      <formula1>"In Progress,Complete,NA"</formula1>
    </dataValidation>
    <dataValidation sqref="B8 E8" showDropDown="1" showInputMessage="0" showErrorMessage="0" allowBlank="1" type="custom">
      <formula1>OR(NOT(ISERROR(DATEVALUE(B8))), AND(ISNUMBER(B8), LEFT(CELL("format", B8))="D"))</formula1>
    </dataValidation>
  </dataValidations>
  <hyperlinks>
    <hyperlink xmlns:r="http://schemas.openxmlformats.org/officeDocument/2006/relationships" ref="B4" r:id="rId1"/>
    <hyperlink ref="A12" location="Notes!A1" display="Notes"/>
    <hyperlink ref="A13" location="Browserstack!A1" display="Browserstack"/>
    <hyperlink xmlns:r="http://schemas.openxmlformats.org/officeDocument/2006/relationships" ref="O41" r:id="rId2"/>
    <hyperlink xmlns:r="http://schemas.openxmlformats.org/officeDocument/2006/relationships" ref="A52" r:id="rId3"/>
    <hyperlink xmlns:r="http://schemas.openxmlformats.org/officeDocument/2006/relationships" ref="A53" r:id="rId4"/>
    <hyperlink xmlns:r="http://schemas.openxmlformats.org/officeDocument/2006/relationships" ref="A54" r:id="rId5"/>
    <hyperlink xmlns:r="http://schemas.openxmlformats.org/officeDocument/2006/relationships" ref="A55" r:id="rId6"/>
    <hyperlink xmlns:r="http://schemas.openxmlformats.org/officeDocument/2006/relationships" ref="A56" r:id="rId7"/>
    <hyperlink xmlns:r="http://schemas.openxmlformats.org/officeDocument/2006/relationships" ref="A57" r:id="rId8"/>
    <hyperlink xmlns:r="http://schemas.openxmlformats.org/officeDocument/2006/relationships" ref="A58" r:id="rId9"/>
    <hyperlink xmlns:r="http://schemas.openxmlformats.org/officeDocument/2006/relationships" ref="A59" r:id="rId10"/>
    <hyperlink xmlns:r="http://schemas.openxmlformats.org/officeDocument/2006/relationships" ref="A60" r:id="rId11"/>
    <hyperlink xmlns:r="http://schemas.openxmlformats.org/officeDocument/2006/relationships" ref="A61" r:id="rId12"/>
    <hyperlink ref="A62" location="'Recovery Measures'!A1" display="Recovery Measures"/>
    <hyperlink xmlns:r="http://schemas.openxmlformats.org/officeDocument/2006/relationships" ref="A63" r:id="rId13"/>
    <hyperlink ref="A64" location="'Updates (partial and failed)'!A1" display="Updates Partial/Failed"/>
    <hyperlink xmlns:r="http://schemas.openxmlformats.org/officeDocument/2006/relationships" ref="A65" r:id="rId14"/>
    <hyperlink xmlns:r="http://schemas.openxmlformats.org/officeDocument/2006/relationships" ref="A66" r:id="rId15"/>
    <hyperlink xmlns:r="http://schemas.openxmlformats.org/officeDocument/2006/relationships" ref="A67" r:id="rId16"/>
    <hyperlink xmlns:r="http://schemas.openxmlformats.org/officeDocument/2006/relationships" ref="A68" r:id="rId17"/>
    <hyperlink xmlns:r="http://schemas.openxmlformats.org/officeDocument/2006/relationships" ref="A69" r:id="rId18"/>
    <hyperlink xmlns:r="http://schemas.openxmlformats.org/officeDocument/2006/relationships" ref="A70" r:id="rId19"/>
    <hyperlink xmlns:r="http://schemas.openxmlformats.org/officeDocument/2006/relationships" ref="A71" r:id="rId20"/>
    <hyperlink xmlns:r="http://schemas.openxmlformats.org/officeDocument/2006/relationships" ref="A72" r:id="rId21"/>
    <hyperlink xmlns:r="http://schemas.openxmlformats.org/officeDocument/2006/relationships" ref="A73" r:id="rId22"/>
    <hyperlink xmlns:r="http://schemas.openxmlformats.org/officeDocument/2006/relationships" ref="A74" r:id="rId23"/>
    <hyperlink xmlns:r="http://schemas.openxmlformats.org/officeDocument/2006/relationships" ref="A75" r:id="rId24"/>
  </hyperlinks>
  <pageMargins left="0.75" right="0.75" top="1" bottom="1" header="0.5" footer="0.5"/>
  <drawing xmlns:r="http://schemas.openxmlformats.org/officeDocument/2006/relationships" r:id="rId2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7.29" defaultRowHeight="15" customHeight="1"/>
  <cols>
    <col width="86.29000000000001" customWidth="1" style="629" min="1" max="2"/>
  </cols>
  <sheetData>
    <row r="1">
      <c r="A1" s="4" t="inlineStr">
        <is>
          <t>Notes</t>
        </is>
      </c>
      <c r="B1" s="4" t="inlineStr">
        <is>
          <t>Bug Reporting</t>
        </is>
      </c>
    </row>
    <row r="2">
      <c r="A2" s="16" t="inlineStr">
        <is>
          <t>Before proceeding with the regression test plan please ensure the following:
1. Internal app sharing is enabled on Play Store
2. You've joined the beta program
- Open https://play.google.com/apps/testing/org.commcare.dalvik in your browser, and become a tester. 
OR
- Open https://play.google.com/apps/testing/org.commcare.dalvik using Playstore and click on join Beta Program
-  Make sure your mail id (that you're logged in with on playstore) is already part of the internal testers lists. If not, accept another invitation using this link.
**If there's any problem in installion clear playstore cache in device's application settings and that should resolve the issue
(More details on this confluence)</t>
        </is>
      </c>
      <c r="B2" s="19" t="inlineStr">
        <is>
          <t>In the body of your ticket, please include the following information:
1. A short summary of the issue or problem
2. Date and approximate time found
3. The device you were using when the error occurred
4. The URL to the domain that was used
5. The application version that was deployed when the error occurred
6. The CommCare version and build # you were using when the error occurred
7. The user name and password logged in as when the error occurred
8. Step-by-step instructions to reproduce the error</t>
        </is>
      </c>
    </row>
    <row r="3">
      <c r="A3" s="652" t="inlineStr">
        <is>
          <t>Further notes:
The update related tests can be done only when the app has been uploaded to the beta track*. Internal app links* do not support updates.
The map view doesn't work with internal-app-sharing track. This also should be verified on beta version.
*Beta track : This requires to be internal tester by joining the beta program; no links are required. The developer uploads it to the beta track.
*Internal app links : These links are shared directly by the developer</t>
        </is>
      </c>
      <c r="B3" s="638" t="n"/>
    </row>
  </sheetData>
  <mergeCells count="1">
    <mergeCell ref="A3:B3"/>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tabColor rgb="FF3C78D8"/>
    <outlinePr summaryBelow="0" summaryRight="0"/>
    <pageSetUpPr/>
  </sheetPr>
  <dimension ref="A1:Q31"/>
  <sheetViews>
    <sheetView workbookViewId="0">
      <selection activeCell="A1" sqref="A1"/>
    </sheetView>
  </sheetViews>
  <sheetFormatPr baseColWidth="8" defaultColWidth="17.29" defaultRowHeight="15" customHeight="1"/>
  <cols>
    <col width="17.29" customWidth="1" style="629" min="1" max="1"/>
    <col width="28" customWidth="1" style="629" min="2" max="2"/>
    <col width="62.86" customWidth="1" style="629" min="3" max="3"/>
    <col width="24.86" customWidth="1" style="629" min="4" max="4"/>
    <col width="15.57" customWidth="1" style="629" min="5" max="5"/>
    <col width="21.29" customWidth="1" style="629" min="6" max="6"/>
    <col width="17.29" customWidth="1" style="629" min="7" max="15"/>
    <col width="14.43" customWidth="1" style="629" min="16" max="17"/>
  </cols>
  <sheetData>
    <row r="1">
      <c r="A1" s="85" t="inlineStr">
        <is>
          <t>Test Area</t>
        </is>
      </c>
      <c r="B1" s="155" t="inlineStr">
        <is>
          <t>Browserstack: Device Compatibility</t>
        </is>
      </c>
      <c r="C1" s="638" t="n"/>
      <c r="D1" s="6" t="inlineStr">
        <is>
          <t>Note: Browserstack and Android Virtual Devices tabs are essentially the same. Any one tab can be executed.</t>
        </is>
      </c>
      <c r="F1" s="65" t="n"/>
      <c r="G1" s="65" t="n"/>
      <c r="H1" s="65" t="n"/>
      <c r="I1" s="65" t="n"/>
      <c r="J1" s="65" t="n"/>
      <c r="K1" s="65" t="n"/>
      <c r="L1" s="65" t="n"/>
      <c r="M1" s="65" t="n"/>
      <c r="N1" s="65" t="n"/>
      <c r="O1" s="65" t="n"/>
      <c r="P1" s="65" t="n"/>
      <c r="Q1" s="65" t="n"/>
    </row>
    <row r="2" ht="25.5" customHeight="1" s="629">
      <c r="A2" s="85" t="inlineStr">
        <is>
          <t>Summary:</t>
        </is>
      </c>
      <c r="B2" s="155" t="inlineStr">
        <is>
          <t>Ensure CommCare is functional on older devices. These tests should also be run for every point release</t>
        </is>
      </c>
      <c r="C2" s="638" t="n"/>
      <c r="F2" s="65" t="n"/>
      <c r="G2" s="65" t="n"/>
      <c r="H2" s="65" t="n"/>
      <c r="I2" s="65" t="n"/>
      <c r="J2" s="65" t="n"/>
      <c r="K2" s="65" t="n"/>
      <c r="L2" s="65" t="n"/>
      <c r="M2" s="65" t="n"/>
      <c r="N2" s="65" t="n"/>
      <c r="O2" s="65" t="n"/>
      <c r="P2" s="65" t="n"/>
      <c r="Q2" s="65" t="n"/>
    </row>
    <row r="3" ht="22.5" customHeight="1" s="629">
      <c r="A3" s="85" t="inlineStr">
        <is>
          <t>Link</t>
        </is>
      </c>
      <c r="B3" s="653" t="inlineStr">
        <is>
          <t>Browserstack</t>
        </is>
      </c>
      <c r="C3" s="638" t="n"/>
      <c r="F3" s="65" t="n"/>
      <c r="G3" s="65" t="n"/>
      <c r="H3" s="65" t="n"/>
      <c r="I3" s="65" t="n"/>
      <c r="J3" s="65" t="n"/>
      <c r="K3" s="65" t="n"/>
      <c r="L3" s="65" t="n"/>
      <c r="M3" s="65" t="n"/>
      <c r="N3" s="65" t="n"/>
      <c r="O3" s="65" t="n"/>
      <c r="P3" s="65" t="n"/>
      <c r="Q3" s="65" t="n"/>
    </row>
    <row r="4">
      <c r="A4" s="85" t="inlineStr">
        <is>
          <t xml:space="preserve">Application: </t>
        </is>
      </c>
      <c r="B4" s="155" t="inlineStr">
        <is>
          <t>Basic Test</t>
        </is>
      </c>
      <c r="C4" s="638" t="n"/>
      <c r="F4" s="65" t="n"/>
      <c r="G4" s="65" t="n"/>
      <c r="H4" s="65" t="n"/>
      <c r="I4" s="65" t="n"/>
      <c r="J4" s="65" t="n"/>
      <c r="K4" s="65" t="n"/>
      <c r="L4" s="65" t="n"/>
      <c r="M4" s="65" t="n"/>
      <c r="N4" s="65" t="n"/>
      <c r="O4" s="65" t="n"/>
      <c r="P4" s="65" t="n"/>
      <c r="Q4" s="65" t="n"/>
    </row>
    <row r="5">
      <c r="A5" s="85" t="inlineStr">
        <is>
          <t>Details</t>
        </is>
      </c>
      <c r="B5" s="654" t="inlineStr">
        <is>
          <t>Browserstack is a tool that allows one to virtually use devices to run CommCare. Each release, some smoke tests should be run on older devices to ensure compatibility: as of August 2020, we expect CommCare to run on all Android devices running 4.1 or higher.
These tests are based off this article.</t>
        </is>
      </c>
      <c r="C5" s="638" t="n"/>
      <c r="F5" s="65" t="n"/>
      <c r="G5" s="65" t="n"/>
      <c r="H5" s="65" t="n"/>
      <c r="I5" s="65" t="n"/>
      <c r="J5" s="65" t="n"/>
      <c r="K5" s="65" t="n"/>
      <c r="L5" s="65" t="n"/>
      <c r="M5" s="65" t="n"/>
      <c r="N5" s="65" t="n"/>
      <c r="O5" s="65" t="n"/>
      <c r="P5" s="65" t="n"/>
      <c r="Q5" s="65" t="n"/>
    </row>
    <row r="6">
      <c r="A6" s="39" t="n"/>
      <c r="B6" s="42" t="n"/>
      <c r="C6" s="42" t="n"/>
      <c r="D6" s="42" t="n"/>
      <c r="E6" s="42" t="n"/>
      <c r="F6" s="65" t="n"/>
      <c r="G6" s="65" t="n"/>
      <c r="H6" s="65" t="n"/>
      <c r="I6" s="65" t="n"/>
      <c r="J6" s="65" t="n"/>
      <c r="K6" s="65" t="n"/>
      <c r="L6" s="65" t="n"/>
      <c r="M6" s="65" t="n"/>
      <c r="N6" s="65" t="n"/>
      <c r="O6" s="65" t="n"/>
      <c r="P6" s="65" t="n"/>
      <c r="Q6" s="65" t="n"/>
    </row>
    <row r="7">
      <c r="A7" s="85" t="inlineStr">
        <is>
          <t>Test Case ID</t>
        </is>
      </c>
      <c r="B7" s="85" t="inlineStr">
        <is>
          <t>Summary</t>
        </is>
      </c>
      <c r="C7" s="85" t="inlineStr">
        <is>
          <t>Steps</t>
        </is>
      </c>
      <c r="D7" s="85" t="inlineStr">
        <is>
          <t>Pass/Fail</t>
        </is>
      </c>
      <c r="E7" s="85" t="inlineStr">
        <is>
          <t>Notes</t>
        </is>
      </c>
      <c r="F7" s="47" t="n"/>
      <c r="G7" s="65" t="n"/>
      <c r="H7" s="65" t="n"/>
      <c r="I7" s="65" t="n"/>
      <c r="J7" s="65" t="n"/>
      <c r="K7" s="65" t="n"/>
      <c r="L7" s="65" t="n"/>
      <c r="M7" s="65" t="n"/>
      <c r="N7" s="65" t="n"/>
      <c r="O7" s="65" t="n"/>
      <c r="P7" s="65" t="n"/>
      <c r="Q7" s="65" t="n"/>
    </row>
    <row r="8" ht="76.5" customHeight="1" s="629">
      <c r="A8" s="155" t="inlineStr">
        <is>
          <t>Install 1</t>
        </is>
      </c>
      <c r="B8" s="155" t="inlineStr">
        <is>
          <t>Open Browserstack</t>
        </is>
      </c>
      <c r="C8" s="52" t="inlineStr">
        <is>
          <t>1. Access Browserstack (dimagiqa1@gmail.com/ Ab123$%^)
2. Select Install Via Playstore
3. Choose Galaxy Note 4 (or a similar device running on Android v4.4)
4. Ensure an emulator launches</t>
        </is>
      </c>
      <c r="D8" s="387" t="n"/>
      <c r="E8" s="521" t="n"/>
      <c r="F8" s="60" t="n"/>
      <c r="G8" s="65" t="n"/>
      <c r="H8" s="65" t="n"/>
      <c r="I8" s="65" t="n"/>
      <c r="J8" s="65" t="n"/>
      <c r="K8" s="65" t="n"/>
      <c r="L8" s="65" t="n"/>
      <c r="M8" s="65" t="n"/>
      <c r="N8" s="65" t="n"/>
      <c r="O8" s="65" t="n"/>
      <c r="P8" s="65" t="n"/>
      <c r="Q8" s="65" t="n"/>
    </row>
    <row r="9">
      <c r="A9" s="155" t="inlineStr">
        <is>
          <t>Install 2</t>
        </is>
      </c>
      <c r="B9" s="155" t="inlineStr">
        <is>
          <t>Log in/Access Play Store</t>
        </is>
      </c>
      <c r="C9" s="155" t="inlineStr">
        <is>
          <t>1. Add an existing Gmail account
2. Accept terms and proceed through any necessary 2FA steps
3. Upon successful login, the Playstore will open
**If Playstore errors, proceed to the next step. Else proceed**</t>
        </is>
      </c>
      <c r="D9" s="387" t="n"/>
      <c r="E9" s="521" t="n"/>
      <c r="F9" s="60" t="n"/>
      <c r="G9" s="65" t="n"/>
      <c r="H9" s="65" t="n"/>
      <c r="I9" s="65" t="n"/>
      <c r="J9" s="65" t="n"/>
      <c r="K9" s="65" t="n"/>
      <c r="L9" s="65" t="n"/>
      <c r="M9" s="65" t="n"/>
      <c r="N9" s="65" t="n"/>
      <c r="O9" s="65" t="n"/>
      <c r="P9" s="65" t="n"/>
      <c r="Q9" s="65" t="n"/>
    </row>
    <row r="10" ht="65.25" customHeight="1" s="629">
      <c r="A10" s="155" t="inlineStr">
        <is>
          <t>Install 3</t>
        </is>
      </c>
      <c r="B10" s="155" t="inlineStr">
        <is>
          <t>**Conditional step**
Playstore error step</t>
        </is>
      </c>
      <c r="C10" s="155" t="inlineStr">
        <is>
          <t>1. Navigate to: App Settings -&gt; Applications -&gt; Playstore -&gt; clear cache
2. Attempt to access the Playstore manually
3. If error occurs again, repeat steps one and two
4. If the error persists, alert the mobile team</t>
        </is>
      </c>
      <c r="D10" s="387" t="n"/>
      <c r="E10" s="521" t="n"/>
      <c r="F10" s="60" t="n"/>
      <c r="G10" s="65" t="n"/>
      <c r="H10" s="65" t="n"/>
      <c r="I10" s="65" t="n"/>
      <c r="J10" s="65" t="n"/>
      <c r="K10" s="65" t="n"/>
      <c r="L10" s="65" t="n"/>
      <c r="M10" s="65" t="n"/>
      <c r="N10" s="65" t="n"/>
      <c r="O10" s="65" t="n"/>
      <c r="P10" s="65" t="n"/>
      <c r="Q10" s="65" t="n"/>
    </row>
    <row r="11">
      <c r="A11" s="155" t="inlineStr">
        <is>
          <t>Install 4</t>
        </is>
      </c>
      <c r="B11" s="155" t="inlineStr">
        <is>
          <t>Internal Tester on Playstore</t>
        </is>
      </c>
      <c r="C11" s="155" t="inlineStr">
        <is>
          <t>1. In the Playstore App, access Menu &gt; Settings
(This is likely under a hamburger menu in a search bar)
2. Locate 'About' and 'Playstore Version' - tap this seven times
3. Internal App Sharing will appear, toggle this on</t>
        </is>
      </c>
      <c r="D11" s="387" t="n"/>
      <c r="E11" s="521" t="n"/>
      <c r="F11" s="60" t="n"/>
      <c r="G11" s="65" t="n"/>
      <c r="H11" s="65" t="n"/>
      <c r="I11" s="65" t="n"/>
      <c r="J11" s="65" t="n"/>
      <c r="K11" s="65" t="n"/>
      <c r="L11" s="65" t="n"/>
      <c r="M11" s="65" t="n"/>
      <c r="N11" s="65" t="n"/>
      <c r="O11" s="65" t="n"/>
      <c r="P11" s="65" t="n"/>
      <c r="Q11" s="65" t="n"/>
    </row>
    <row r="12">
      <c r="A12" s="155" t="inlineStr">
        <is>
          <t>Install 5</t>
        </is>
      </c>
      <c r="B12" s="155" t="inlineStr">
        <is>
          <t>Internal CommCare Install link</t>
        </is>
      </c>
      <c r="C12" s="155" t="inlineStr">
        <is>
          <t>1. Input the testing link into the devices browser
(This link is provided by the mobile team for each release)
2. It will likely redirect you to the Playstore, once there, install the CommCare version in test</t>
        </is>
      </c>
      <c r="D12" s="387" t="n"/>
      <c r="E12" s="521" t="n"/>
      <c r="F12" s="60" t="n"/>
      <c r="G12" s="65" t="n"/>
      <c r="H12" s="65" t="n"/>
      <c r="I12" s="65" t="n"/>
      <c r="J12" s="65" t="n"/>
      <c r="K12" s="65" t="n"/>
      <c r="L12" s="65" t="n"/>
      <c r="M12" s="65" t="n"/>
      <c r="N12" s="65" t="n"/>
      <c r="O12" s="65" t="n"/>
      <c r="P12" s="65" t="n"/>
      <c r="Q12" s="65" t="n"/>
    </row>
    <row r="13">
      <c r="A13" s="155" t="inlineStr">
        <is>
          <t>Install 6</t>
        </is>
      </c>
      <c r="B13" s="155" t="inlineStr">
        <is>
          <t>Install App</t>
        </is>
      </c>
      <c r="C13" s="52" t="inlineStr">
        <is>
          <t>1. Access Basic Tests
(On your laptop, not in Browserstack)
2. Access the App Code of the release in test
3. Use the App Code in Browserstack to install Basic Tests
4. Login with: test1/123</t>
        </is>
      </c>
      <c r="D13" s="387" t="n"/>
      <c r="E13" s="521" t="n"/>
      <c r="F13" s="60" t="n"/>
      <c r="G13" s="65" t="n"/>
      <c r="H13" s="65" t="n"/>
      <c r="I13" s="65" t="n"/>
      <c r="J13" s="65" t="n"/>
      <c r="K13" s="65" t="n"/>
      <c r="L13" s="65" t="n"/>
      <c r="M13" s="65" t="n"/>
      <c r="N13" s="65" t="n"/>
      <c r="O13" s="65" t="n"/>
      <c r="P13" s="65" t="n"/>
      <c r="Q13" s="65" t="n"/>
    </row>
    <row r="14">
      <c r="A14" s="155" t="inlineStr">
        <is>
          <t>Form Tests 1</t>
        </is>
      </c>
      <c r="B14" s="155" t="inlineStr">
        <is>
          <t>Basic Form</t>
        </is>
      </c>
      <c r="C14" s="155" t="inlineStr">
        <is>
          <t>1. Submit Basic Form Tests &gt; Basic Form
2. Verify this is functional</t>
        </is>
      </c>
      <c r="D14" s="387" t="n"/>
      <c r="E14" s="155" t="n"/>
      <c r="F14" s="60" t="n"/>
      <c r="G14" s="65" t="n"/>
      <c r="H14" s="65" t="n"/>
      <c r="I14" s="65" t="n"/>
      <c r="J14" s="65" t="n"/>
      <c r="K14" s="65" t="n"/>
      <c r="L14" s="65" t="n"/>
      <c r="M14" s="65" t="n"/>
      <c r="N14" s="65" t="n"/>
      <c r="O14" s="65" t="n"/>
      <c r="P14" s="65" t="n"/>
      <c r="Q14" s="65" t="n"/>
    </row>
    <row r="15">
      <c r="A15" s="155" t="inlineStr">
        <is>
          <t>Form Tests 2</t>
        </is>
      </c>
      <c r="B15" s="155" t="inlineStr">
        <is>
          <t>Question Types</t>
        </is>
      </c>
      <c r="C15" s="155" t="inlineStr">
        <is>
          <t>1. Submit Basic Form Tests &gt; Question Types
2. Ensure this is functional
(note that 'capture questions' (video, image, audio, GPS are not functional)</t>
        </is>
      </c>
      <c r="D15" s="387" t="n"/>
      <c r="E15" s="155" t="n"/>
      <c r="F15" s="60" t="n"/>
      <c r="G15" s="65" t="n"/>
      <c r="H15" s="65" t="n"/>
      <c r="I15" s="65" t="n"/>
      <c r="J15" s="65" t="n"/>
      <c r="K15" s="65" t="n"/>
      <c r="L15" s="65" t="n"/>
      <c r="M15" s="65" t="n"/>
      <c r="N15" s="65" t="n"/>
      <c r="O15" s="65" t="n"/>
      <c r="P15" s="65" t="n"/>
      <c r="Q15" s="65" t="n"/>
    </row>
    <row r="16">
      <c r="A16" s="155" t="inlineStr">
        <is>
          <t>Form Tests 3</t>
        </is>
      </c>
      <c r="B16" s="155" t="inlineStr">
        <is>
          <t>Case Tests</t>
        </is>
      </c>
      <c r="C16" s="155" t="inlineStr">
        <is>
          <t>1. Access: Basic Tests &gt; Case Tests
2. Proceed through:
a) Create a Case
b) Update a Case
c) Close a Case
3. Submit all and ensure the forms are functional</t>
        </is>
      </c>
      <c r="D16" s="387" t="n"/>
      <c r="E16" s="155" t="n"/>
      <c r="F16" s="60" t="n"/>
      <c r="G16" s="65" t="n"/>
      <c r="H16" s="65" t="n"/>
      <c r="I16" s="65" t="n"/>
      <c r="J16" s="65" t="n"/>
      <c r="K16" s="65" t="n"/>
      <c r="L16" s="65" t="n"/>
      <c r="M16" s="65" t="n"/>
      <c r="N16" s="65" t="n"/>
      <c r="O16" s="65" t="n"/>
      <c r="P16" s="65" t="n"/>
      <c r="Q16" s="65" t="n"/>
    </row>
    <row r="17">
      <c r="A17" s="155" t="inlineStr">
        <is>
          <t>Exploratory</t>
        </is>
      </c>
      <c r="B17" s="155" t="inlineStr">
        <is>
          <t>General form submissions</t>
        </is>
      </c>
      <c r="C17" s="155" t="inlineStr">
        <is>
          <t>1. Explore the Basic Tests app and submit a handful more forms. This step does not need to be exhaustive</t>
        </is>
      </c>
      <c r="D17" s="387" t="n"/>
      <c r="E17" s="155" t="n"/>
      <c r="F17" s="60" t="n"/>
      <c r="G17" s="65" t="n"/>
      <c r="H17" s="65" t="n"/>
      <c r="I17" s="65" t="n"/>
      <c r="J17" s="65" t="n"/>
      <c r="K17" s="65" t="n"/>
      <c r="L17" s="65" t="n"/>
      <c r="M17" s="65" t="n"/>
      <c r="N17" s="65" t="n"/>
      <c r="O17" s="65" t="n"/>
      <c r="P17" s="65" t="n"/>
      <c r="Q17" s="65" t="n"/>
    </row>
    <row r="18">
      <c r="A18" s="155" t="inlineStr">
        <is>
          <t>Sync</t>
        </is>
      </c>
      <c r="B18" s="155" t="inlineStr">
        <is>
          <t>Sync with Server and submission validation</t>
        </is>
      </c>
      <c r="C18" s="155" t="inlineStr">
        <is>
          <t>1. Sync with the server
2. Ensure you receive the Sync Successful message
3. Back on your laptop, navigate to the Submit History report and ensure the forms were received</t>
        </is>
      </c>
      <c r="D18" s="387" t="n"/>
      <c r="E18" s="155" t="n"/>
      <c r="F18" s="42" t="n"/>
      <c r="G18" s="65" t="n"/>
      <c r="H18" s="65" t="n"/>
      <c r="I18" s="65" t="n"/>
      <c r="J18" s="65" t="n"/>
      <c r="K18" s="65" t="n"/>
      <c r="L18" s="65" t="n"/>
      <c r="M18" s="65" t="n"/>
      <c r="N18" s="65" t="n"/>
      <c r="O18" s="65" t="n"/>
      <c r="P18" s="65" t="n"/>
      <c r="Q18" s="65" t="n"/>
    </row>
    <row r="19">
      <c r="A19" s="83" t="n"/>
      <c r="B19" s="83" t="n"/>
      <c r="C19" s="83" t="n"/>
      <c r="D19" s="83" t="n"/>
      <c r="E19" s="83" t="n"/>
      <c r="F19" s="42" t="n"/>
      <c r="G19" s="65" t="n"/>
      <c r="H19" s="65" t="n"/>
      <c r="I19" s="65" t="n"/>
      <c r="J19" s="65" t="n"/>
      <c r="K19" s="65" t="n"/>
      <c r="L19" s="65" t="n"/>
      <c r="M19" s="65" t="n"/>
      <c r="N19" s="65" t="n"/>
      <c r="O19" s="65" t="n"/>
      <c r="P19" s="65" t="n"/>
      <c r="Q19" s="65" t="n"/>
    </row>
    <row r="20">
      <c r="A20" s="157" t="inlineStr">
        <is>
          <t>The Following Tests are to be run upon completion of all other QA tests for the release</t>
        </is>
      </c>
      <c r="B20" s="639" t="n"/>
      <c r="C20" s="639" t="n"/>
      <c r="D20" s="639" t="n"/>
      <c r="E20" s="638" t="n"/>
      <c r="F20" s="42" t="n"/>
      <c r="G20" s="65" t="n"/>
      <c r="H20" s="65" t="n"/>
      <c r="I20" s="65" t="n"/>
      <c r="J20" s="65" t="n"/>
      <c r="K20" s="65" t="n"/>
      <c r="L20" s="65" t="n"/>
      <c r="M20" s="65" t="n"/>
      <c r="N20" s="65" t="n"/>
      <c r="O20" s="65" t="n"/>
      <c r="P20" s="65" t="n"/>
      <c r="Q20" s="65" t="n"/>
    </row>
    <row r="21">
      <c r="A21" s="155" t="inlineStr">
        <is>
          <t>Install 1</t>
        </is>
      </c>
      <c r="B21" s="155" t="inlineStr">
        <is>
          <t>Open Browserstack</t>
        </is>
      </c>
      <c r="C21" s="52" t="inlineStr">
        <is>
          <t>1. Access Browserstack
2. Select Install Via Playstore
3. Choose a mobile device and ensure the emulator launches
4. Login with your dimagi gmail account or 
dimagi.commcare.06@gmail.com/123pass@123</t>
        </is>
      </c>
      <c r="D21" s="387" t="n"/>
      <c r="E21" s="155" t="n"/>
      <c r="F21" s="42" t="n"/>
      <c r="G21" s="65" t="n"/>
      <c r="H21" s="65" t="n"/>
      <c r="I21" s="65" t="n"/>
      <c r="J21" s="65" t="n"/>
      <c r="K21" s="65" t="n"/>
      <c r="L21" s="65" t="n"/>
      <c r="M21" s="65" t="n"/>
      <c r="N21" s="65" t="n"/>
      <c r="O21" s="65" t="n"/>
      <c r="P21" s="65" t="n"/>
      <c r="Q21" s="65" t="n"/>
    </row>
    <row r="22">
      <c r="A22" s="155" t="inlineStr">
        <is>
          <t>Install 2</t>
        </is>
      </c>
      <c r="B22" s="155" t="inlineStr">
        <is>
          <t>Install CommCare</t>
        </is>
      </c>
      <c r="C22" s="155" t="inlineStr">
        <is>
          <t>1. Open the playstore and search for CommCare
2. Ensure you've on the publicly released version of CommCare, if you are not scroll down and leave the Beta tester program</t>
        </is>
      </c>
      <c r="D22" s="387" t="n"/>
      <c r="E22" s="155" t="n"/>
      <c r="F22" s="65" t="n"/>
      <c r="G22" s="65" t="n"/>
      <c r="H22" s="65" t="n"/>
      <c r="I22" s="65" t="n"/>
      <c r="J22" s="65" t="n"/>
      <c r="K22" s="65" t="n"/>
      <c r="L22" s="65" t="n"/>
      <c r="M22" s="65" t="n"/>
      <c r="N22" s="65" t="n"/>
      <c r="O22" s="65" t="n"/>
      <c r="P22" s="65" t="n"/>
      <c r="Q22" s="65" t="n"/>
    </row>
    <row r="23">
      <c r="A23" s="155" t="inlineStr">
        <is>
          <t>Install 3</t>
        </is>
      </c>
      <c r="B23" s="155" t="inlineStr">
        <is>
          <t>Install App</t>
        </is>
      </c>
      <c r="C23" s="52" t="inlineStr">
        <is>
          <t>1. Access Basic Tests
(On your laptop, not in Browserstack)
2. Access the App Code of the release in test
3. Use the App Code in Browserstack to install Basic Tests
4. Login with: test1/123</t>
        </is>
      </c>
      <c r="D23" s="387" t="n"/>
      <c r="E23" s="95" t="n"/>
      <c r="F23" s="65" t="n"/>
      <c r="G23" s="65" t="n"/>
      <c r="H23" s="65" t="n"/>
      <c r="I23" s="65" t="n"/>
      <c r="J23" s="65" t="n"/>
      <c r="K23" s="65" t="n"/>
      <c r="L23" s="65" t="n"/>
      <c r="M23" s="65" t="n"/>
      <c r="N23" s="65" t="n"/>
      <c r="O23" s="65" t="n"/>
      <c r="P23" s="65" t="n"/>
      <c r="Q23" s="65" t="n"/>
    </row>
    <row r="24">
      <c r="A24" s="95" t="inlineStr">
        <is>
          <t>Baseline 1</t>
        </is>
      </c>
      <c r="B24" s="155" t="inlineStr">
        <is>
          <t>Basic Form</t>
        </is>
      </c>
      <c r="C24" s="155" t="inlineStr">
        <is>
          <t>1. Submit Basic Form Tests &gt; Basic Form
2. Verify this is functional</t>
        </is>
      </c>
      <c r="D24" s="387" t="n"/>
      <c r="E24" s="95" t="n"/>
      <c r="F24" s="65" t="n"/>
      <c r="G24" s="65" t="n"/>
      <c r="H24" s="65" t="n"/>
      <c r="I24" s="65" t="n"/>
      <c r="J24" s="65" t="n"/>
      <c r="K24" s="65" t="n"/>
      <c r="L24" s="65" t="n"/>
      <c r="M24" s="65" t="n"/>
      <c r="N24" s="65" t="n"/>
      <c r="O24" s="65" t="n"/>
      <c r="P24" s="65" t="n"/>
      <c r="Q24" s="65" t="n"/>
    </row>
    <row r="25">
      <c r="A25" s="95" t="inlineStr">
        <is>
          <t>Baseline 2</t>
        </is>
      </c>
      <c r="B25" s="155" t="inlineStr">
        <is>
          <t>Question Types</t>
        </is>
      </c>
      <c r="C25" s="155" t="inlineStr">
        <is>
          <t>1. Submit Basic Form Tests &gt; Question Types
2. Ensure this is functional
(note that 'capture questions' (video, image, audio, GPS) are not functional)</t>
        </is>
      </c>
      <c r="D25" s="387" t="n"/>
      <c r="E25" s="95" t="n"/>
      <c r="F25" s="65" t="n"/>
      <c r="G25" s="65" t="n"/>
      <c r="H25" s="65" t="n"/>
      <c r="I25" s="65" t="n"/>
      <c r="J25" s="65" t="n"/>
      <c r="K25" s="65" t="n"/>
      <c r="L25" s="65" t="n"/>
      <c r="M25" s="65" t="n"/>
      <c r="N25" s="65" t="n"/>
      <c r="O25" s="65" t="n"/>
      <c r="P25" s="65" t="n"/>
      <c r="Q25" s="65" t="n"/>
    </row>
    <row r="26">
      <c r="A26" s="95" t="inlineStr">
        <is>
          <t>Baseline 3</t>
        </is>
      </c>
      <c r="B26" s="95" t="inlineStr">
        <is>
          <t>Incomplete</t>
        </is>
      </c>
      <c r="C26" s="95" t="inlineStr">
        <is>
          <t>1. Access several forms and save them as incomplete</t>
        </is>
      </c>
      <c r="D26" s="387" t="n"/>
      <c r="E26" s="95" t="n"/>
      <c r="F26" s="65" t="n"/>
      <c r="G26" s="65" t="n"/>
      <c r="H26" s="65" t="n"/>
      <c r="I26" s="65" t="n"/>
      <c r="J26" s="65" t="n"/>
      <c r="K26" s="65" t="n"/>
      <c r="L26" s="65" t="n"/>
      <c r="M26" s="65" t="n"/>
      <c r="N26" s="65" t="n"/>
      <c r="O26" s="65" t="n"/>
      <c r="P26" s="65" t="n"/>
      <c r="Q26" s="65" t="n"/>
    </row>
    <row r="27">
      <c r="A27" s="95" t="inlineStr">
        <is>
          <t>Updates 1</t>
        </is>
      </c>
      <c r="B27" s="95" t="inlineStr">
        <is>
          <t>Become a tester</t>
        </is>
      </c>
      <c r="C27" s="99" t="inlineStr">
        <is>
          <t>1. Access this link and become a tester
2. Once a tester, you should be able to see a link to the playstore
3. On the Playstore app, join Beta</t>
        </is>
      </c>
      <c r="D27" s="387" t="n"/>
      <c r="E27" s="95" t="n"/>
      <c r="F27" s="65" t="n"/>
      <c r="G27" s="65" t="n"/>
      <c r="H27" s="65" t="n"/>
      <c r="I27" s="65" t="n"/>
      <c r="J27" s="65" t="n"/>
      <c r="K27" s="65" t="n"/>
      <c r="L27" s="65" t="n"/>
      <c r="M27" s="65" t="n"/>
      <c r="N27" s="65" t="n"/>
      <c r="O27" s="65" t="n"/>
      <c r="P27" s="65" t="n"/>
      <c r="Q27" s="65" t="n"/>
    </row>
    <row r="28">
      <c r="A28" s="95" t="inlineStr">
        <is>
          <t>Updates 2</t>
        </is>
      </c>
      <c r="B28" s="95" t="inlineStr">
        <is>
          <t>Update CommCare</t>
        </is>
      </c>
      <c r="C28" s="95" t="inlineStr">
        <is>
          <t>1. Close and reopen the Playstore app
2. You should see a CommCare Beta version with an update button
3. Update CommCare with that button</t>
        </is>
      </c>
      <c r="D28" s="387" t="n"/>
      <c r="E28" s="95" t="n"/>
      <c r="F28" s="65" t="n"/>
      <c r="G28" s="65" t="n"/>
      <c r="H28" s="65" t="n"/>
      <c r="I28" s="65" t="n"/>
      <c r="J28" s="65" t="n"/>
      <c r="K28" s="65" t="n"/>
      <c r="L28" s="65" t="n"/>
      <c r="M28" s="65" t="n"/>
      <c r="N28" s="65" t="n"/>
      <c r="O28" s="65" t="n"/>
      <c r="P28" s="65" t="n"/>
      <c r="Q28" s="65" t="n"/>
    </row>
    <row r="29">
      <c r="A29" s="95" t="inlineStr">
        <is>
          <t>Updates 3</t>
        </is>
      </c>
      <c r="B29" s="95" t="inlineStr">
        <is>
          <t>Verification</t>
        </is>
      </c>
      <c r="C29" s="95" t="inlineStr">
        <is>
          <t>1. Once the new app version is updated, verify that:
a) The the app starts up and runs correctly
b) The version number in the "About CommCare" menu selection is the full three-part version of the new release (IE: 2.49.5)
c) You are still able to log in to the user account you synced previously (without syncing with the server again)
d) You're able to see the submitted forms and incomplete forms
e) You're able to finish and submit the incomplete forms</t>
        </is>
      </c>
      <c r="D29" s="387" t="n"/>
      <c r="E29" s="95" t="n"/>
      <c r="F29" s="65" t="n"/>
      <c r="G29" s="65" t="n"/>
      <c r="H29" s="65" t="n"/>
      <c r="I29" s="65" t="n"/>
      <c r="J29" s="65" t="n"/>
      <c r="K29" s="65" t="n"/>
      <c r="L29" s="65" t="n"/>
      <c r="M29" s="65" t="n"/>
      <c r="N29" s="65" t="n"/>
      <c r="O29" s="65" t="n"/>
      <c r="P29" s="65" t="n"/>
      <c r="Q29" s="65" t="n"/>
    </row>
    <row r="30">
      <c r="A30" s="65" t="n"/>
      <c r="B30" s="65" t="n"/>
      <c r="C30" s="65" t="n"/>
      <c r="D30" s="65" t="n"/>
      <c r="E30" s="65" t="n"/>
      <c r="F30" s="65" t="n"/>
      <c r="G30" s="65" t="n"/>
      <c r="H30" s="65" t="n"/>
      <c r="I30" s="65" t="n"/>
      <c r="J30" s="65" t="n"/>
      <c r="K30" s="65" t="n"/>
      <c r="L30" s="65" t="n"/>
      <c r="M30" s="65" t="n"/>
      <c r="N30" s="65" t="n"/>
      <c r="O30" s="65" t="n"/>
      <c r="P30" s="65" t="n"/>
      <c r="Q30" s="65" t="n"/>
    </row>
    <row r="31">
      <c r="A31" s="65" t="n"/>
      <c r="B31" s="65" t="n"/>
      <c r="C31" s="65" t="n"/>
      <c r="D31" s="65" t="n"/>
      <c r="E31" s="65" t="n"/>
      <c r="F31" s="65" t="n"/>
      <c r="G31" s="65" t="n"/>
      <c r="H31" s="65" t="n"/>
      <c r="I31" s="65" t="n"/>
      <c r="J31" s="65" t="n"/>
      <c r="K31" s="65" t="n"/>
      <c r="L31" s="65" t="n"/>
      <c r="M31" s="65" t="n"/>
      <c r="N31" s="65" t="n"/>
      <c r="O31" s="65" t="n"/>
      <c r="P31" s="65" t="n"/>
      <c r="Q31" s="65" t="n"/>
    </row>
  </sheetData>
  <mergeCells count="7">
    <mergeCell ref="B2:C2"/>
    <mergeCell ref="A20:E20"/>
    <mergeCell ref="B3:C3"/>
    <mergeCell ref="B5:C5"/>
    <mergeCell ref="D1:E5"/>
    <mergeCell ref="B1:C1"/>
    <mergeCell ref="B4:C4"/>
  </mergeCells>
  <conditionalFormatting sqref="D8:D18 D21:D29">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8 D21:D29" showDropDown="0" showInputMessage="0" showErrorMessage="1" allowBlank="1" type="list">
      <formula1>"Pass,Fail,N/A,Blocking"</formula1>
    </dataValidation>
  </dataValidations>
  <hyperlinks>
    <hyperlink ref="D1" location="Browserstack!A1" display="Note: Browserstack and Android Virtual Devices tabs are essentially the same. Any one tab can be executed."/>
    <hyperlink xmlns:r="http://schemas.openxmlformats.org/officeDocument/2006/relationships" ref="B3" location="os=android&amp;os_version=4.4&amp;device=Google+Nexus+5&amp;zoom_to_fit=true&amp;full_screen=true&amp;speed=1" r:id="rId1"/>
    <hyperlink xmlns:r="http://schemas.openxmlformats.org/officeDocument/2006/relationships" ref="B5" r:id="rId2"/>
    <hyperlink xmlns:r="http://schemas.openxmlformats.org/officeDocument/2006/relationships" ref="C8" location="os=android&amp;os_version=4.4&amp;device=Samsung+Galaxy+Note+4&amp;zoom_to_fit=true&amp;full_screen=true&amp;speed=1" r:id="rId3"/>
    <hyperlink xmlns:r="http://schemas.openxmlformats.org/officeDocument/2006/relationships" ref="C13" r:id="rId4"/>
    <hyperlink xmlns:r="http://schemas.openxmlformats.org/officeDocument/2006/relationships" ref="C21" location="os=android&amp;os_version=4.4&amp;device=Samsung+Galaxy+Note+4&amp;zoom_to_fit=true&amp;full_screen=true&amp;speed=1" r:id="rId5"/>
    <hyperlink xmlns:r="http://schemas.openxmlformats.org/officeDocument/2006/relationships" ref="C23" r:id="rId6"/>
    <hyperlink xmlns:r="http://schemas.openxmlformats.org/officeDocument/2006/relationships" ref="C27" r:id="rId7"/>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1155CC"/>
    <outlinePr summaryBelow="0" summaryRight="0"/>
    <pageSetUpPr/>
  </sheetPr>
  <dimension ref="A1:R24"/>
  <sheetViews>
    <sheetView workbookViewId="0">
      <selection activeCell="A1" sqref="A1"/>
    </sheetView>
  </sheetViews>
  <sheetFormatPr baseColWidth="8" defaultColWidth="17.29" defaultRowHeight="15" customHeight="1"/>
  <cols>
    <col width="17.29" customWidth="1" style="629" min="1" max="1"/>
    <col width="28" customWidth="1" style="629" min="2" max="2"/>
    <col width="62.86" customWidth="1" style="629" min="3" max="3"/>
    <col width="24.86" customWidth="1" style="629" min="4" max="5"/>
    <col width="15.57" customWidth="1" style="629" min="6" max="6"/>
    <col width="21.29" customWidth="1" style="629" min="7" max="7"/>
    <col width="17.29" customWidth="1" style="629" min="8" max="16"/>
    <col width="14.43" customWidth="1" style="629" min="17" max="18"/>
  </cols>
  <sheetData>
    <row r="1">
      <c r="A1" s="85" t="inlineStr">
        <is>
          <t>Test Area</t>
        </is>
      </c>
      <c r="B1" s="155" t="inlineStr">
        <is>
          <t>Android Virtual Device: Device Compatibility</t>
        </is>
      </c>
      <c r="C1" s="638" t="n"/>
      <c r="D1" s="6" t="inlineStr">
        <is>
          <t>Note: Browserstack and Android Virtual Devices tabs are essentially the same. Any one tab can be executed.</t>
        </is>
      </c>
      <c r="F1" s="9" t="n"/>
      <c r="G1" s="14" t="n"/>
      <c r="H1" s="14" t="n"/>
      <c r="I1" s="14" t="n"/>
      <c r="J1" s="14" t="n"/>
      <c r="K1" s="14" t="n"/>
      <c r="L1" s="14" t="n"/>
      <c r="M1" s="14" t="n"/>
      <c r="N1" s="14" t="n"/>
      <c r="O1" s="14" t="n"/>
      <c r="P1" s="14" t="n"/>
      <c r="Q1" s="14" t="n"/>
      <c r="R1" s="14" t="n"/>
    </row>
    <row r="2" ht="25.5" customHeight="1" s="629">
      <c r="A2" s="85" t="inlineStr">
        <is>
          <t>Summary:</t>
        </is>
      </c>
      <c r="B2" s="155" t="inlineStr">
        <is>
          <t>Ensure CommCare is functional on older devices. These tests should also be run for every point release</t>
        </is>
      </c>
      <c r="C2" s="638" t="n"/>
      <c r="F2" s="14" t="n"/>
      <c r="G2" s="14" t="n"/>
      <c r="H2" s="14" t="n"/>
      <c r="I2" s="14" t="n"/>
      <c r="J2" s="14" t="n"/>
      <c r="K2" s="14" t="n"/>
      <c r="L2" s="14" t="n"/>
      <c r="M2" s="14" t="n"/>
      <c r="N2" s="14" t="n"/>
      <c r="O2" s="14" t="n"/>
      <c r="P2" s="14" t="n"/>
      <c r="Q2" s="14" t="n"/>
      <c r="R2" s="14" t="n"/>
    </row>
    <row r="3" ht="22.5" customHeight="1" s="629">
      <c r="A3" s="85" t="inlineStr">
        <is>
          <t>Link(s)</t>
        </is>
      </c>
      <c r="B3" s="653" t="inlineStr">
        <is>
          <t>1. Download and install Android Studio here
2. Set up an AVD with these steps (Android Virtual Device)</t>
        </is>
      </c>
      <c r="C3" s="638" t="n"/>
      <c r="F3" s="14" t="n"/>
      <c r="G3" s="14" t="n"/>
      <c r="H3" s="14" t="n"/>
      <c r="I3" s="14" t="n"/>
      <c r="J3" s="14" t="n"/>
      <c r="K3" s="14" t="n"/>
      <c r="L3" s="14" t="n"/>
      <c r="M3" s="14" t="n"/>
      <c r="N3" s="14" t="n"/>
      <c r="O3" s="14" t="n"/>
      <c r="P3" s="14" t="n"/>
      <c r="Q3" s="14" t="n"/>
      <c r="R3" s="14" t="n"/>
    </row>
    <row r="4">
      <c r="A4" s="85" t="inlineStr">
        <is>
          <t xml:space="preserve">Application: </t>
        </is>
      </c>
      <c r="B4" s="155" t="inlineStr">
        <is>
          <t>Basic Test</t>
        </is>
      </c>
      <c r="C4" s="638" t="n"/>
      <c r="F4" s="14" t="n"/>
      <c r="G4" s="14" t="n"/>
      <c r="H4" s="14" t="n"/>
      <c r="I4" s="14" t="n"/>
      <c r="J4" s="14" t="n"/>
      <c r="K4" s="14" t="n"/>
      <c r="L4" s="14" t="n"/>
      <c r="M4" s="14" t="n"/>
      <c r="N4" s="14" t="n"/>
      <c r="O4" s="14" t="n"/>
      <c r="P4" s="14" t="n"/>
      <c r="Q4" s="14" t="n"/>
      <c r="R4" s="14" t="n"/>
    </row>
    <row r="5">
      <c r="A5" s="85" t="inlineStr">
        <is>
          <t>Details</t>
        </is>
      </c>
      <c r="B5" s="155" t="inlineStr">
        <is>
          <t>The AVD Manager is an interface you can launch from Android Studio that allows one to virtually use devices to run CommCare. Each release, some smoke tests should be run on older devices to ensure compatibility: as of August 2020, we expect CommCare to run on all Android devices running 4.1 or higher.</t>
        </is>
      </c>
      <c r="C5" s="638" t="n"/>
      <c r="F5" s="14" t="n"/>
      <c r="G5" s="14" t="n"/>
      <c r="H5" s="14" t="n"/>
      <c r="I5" s="14" t="n"/>
      <c r="J5" s="14" t="n"/>
      <c r="K5" s="14" t="n"/>
      <c r="L5" s="14" t="n"/>
      <c r="M5" s="14" t="n"/>
      <c r="N5" s="14" t="n"/>
      <c r="O5" s="14" t="n"/>
      <c r="P5" s="14" t="n"/>
      <c r="Q5" s="14" t="n"/>
      <c r="R5" s="14" t="n"/>
    </row>
    <row r="6">
      <c r="A6" s="39" t="n"/>
      <c r="B6" s="42" t="n"/>
      <c r="C6" s="43" t="n"/>
      <c r="D6" s="43" t="n"/>
      <c r="E6" s="43" t="n"/>
      <c r="F6" s="43" t="n"/>
      <c r="G6" s="14" t="n"/>
      <c r="H6" s="14" t="n"/>
      <c r="I6" s="14" t="n"/>
      <c r="J6" s="14" t="n"/>
      <c r="K6" s="14" t="n"/>
      <c r="L6" s="14" t="n"/>
      <c r="M6" s="14" t="n"/>
      <c r="N6" s="14" t="n"/>
      <c r="O6" s="14" t="n"/>
      <c r="P6" s="14" t="n"/>
      <c r="Q6" s="14" t="n"/>
      <c r="R6" s="14" t="n"/>
    </row>
    <row r="7">
      <c r="A7" s="85" t="inlineStr">
        <is>
          <t>Test Case ID</t>
        </is>
      </c>
      <c r="B7" s="85" t="inlineStr">
        <is>
          <t>Summary</t>
        </is>
      </c>
      <c r="C7" s="115" t="inlineStr">
        <is>
          <t>Steps</t>
        </is>
      </c>
      <c r="D7" s="115" t="inlineStr">
        <is>
          <t>Pass/Fail</t>
        </is>
      </c>
      <c r="E7" s="115" t="inlineStr">
        <is>
          <t>Notes</t>
        </is>
      </c>
      <c r="F7" s="115" t="inlineStr">
        <is>
          <t>Ticket ID</t>
        </is>
      </c>
      <c r="G7" s="50" t="n"/>
      <c r="H7" s="14" t="n"/>
      <c r="I7" s="14" t="n"/>
      <c r="J7" s="14" t="n"/>
      <c r="K7" s="14" t="n"/>
      <c r="L7" s="14" t="n"/>
      <c r="M7" s="14" t="n"/>
      <c r="N7" s="14" t="n"/>
      <c r="O7" s="14" t="n"/>
      <c r="P7" s="14" t="n"/>
      <c r="Q7" s="14" t="n"/>
      <c r="R7" s="14" t="n"/>
    </row>
    <row r="8" ht="76.5" customHeight="1" s="629">
      <c r="A8" s="155" t="inlineStr">
        <is>
          <t>Install 1</t>
        </is>
      </c>
      <c r="B8" s="155" t="inlineStr">
        <is>
          <t>Setup AVD</t>
        </is>
      </c>
      <c r="C8" s="54" t="inlineStr">
        <is>
          <t xml:space="preserve">1. Download and install Android Studio here.
2. Open the AVD Manager by clicking Tools &gt; AVD Manager and follow the steps here to set up an AVD to setup Galaxy Note 4 (or a similar device running on Android v4.4)
3. Click on the play button the start the virtual device.
4. Ensure an emulator launches 
(Note: There's a chance it might get killed. If so, delete the existing device files from my system’s file manager (from the folder .android/avd) and create a new virtual device)
</t>
        </is>
      </c>
      <c r="D8" s="497" t="n"/>
      <c r="E8" s="522" t="n"/>
      <c r="F8" s="522" t="n"/>
      <c r="G8" s="74" t="n"/>
      <c r="H8" s="14" t="n"/>
      <c r="I8" s="14" t="n"/>
      <c r="J8" s="14" t="n"/>
      <c r="K8" s="14" t="n"/>
      <c r="L8" s="14" t="n"/>
      <c r="M8" s="14" t="n"/>
      <c r="N8" s="14" t="n"/>
      <c r="O8" s="14" t="n"/>
      <c r="P8" s="14" t="n"/>
      <c r="Q8" s="14" t="n"/>
      <c r="R8" s="14" t="n"/>
    </row>
    <row r="9" ht="76.5" customHeight="1" s="629">
      <c r="A9" s="155" t="inlineStr">
        <is>
          <t>Install 2</t>
        </is>
      </c>
      <c r="B9" s="155" t="inlineStr">
        <is>
          <t>Open AVD</t>
        </is>
      </c>
      <c r="C9" s="193" t="inlineStr">
        <is>
          <t>1. Access the virtual device
2. Drag and Drop the commcare apk in test to the virtual device's display
3. Ensure that Commcare is installed</t>
        </is>
      </c>
      <c r="D9" s="497" t="n"/>
      <c r="E9" s="522" t="n"/>
      <c r="F9" s="522" t="n"/>
      <c r="G9" s="74" t="n"/>
      <c r="H9" s="14" t="n"/>
      <c r="I9" s="14" t="n"/>
      <c r="J9" s="14" t="n"/>
      <c r="K9" s="14" t="n"/>
      <c r="L9" s="14" t="n"/>
      <c r="M9" s="14" t="n"/>
      <c r="N9" s="14" t="n"/>
      <c r="O9" s="14" t="n"/>
      <c r="P9" s="14" t="n"/>
      <c r="Q9" s="14" t="n"/>
      <c r="R9" s="14" t="n"/>
    </row>
    <row r="10">
      <c r="A10" s="155" t="inlineStr">
        <is>
          <t>Install 3</t>
        </is>
      </c>
      <c r="B10" s="155" t="inlineStr">
        <is>
          <t>Install App</t>
        </is>
      </c>
      <c r="C10" s="72" t="inlineStr">
        <is>
          <t>1. Access Basic Tests (On your laptop, not in virual device)
2. Access the App Code of the release in test
3. Use the App Code to install Basic Tests
4. Login with: test1/123</t>
        </is>
      </c>
      <c r="D10" s="497" t="n"/>
      <c r="E10" s="522" t="n"/>
      <c r="F10" s="522" t="n"/>
      <c r="G10" s="74" t="n"/>
      <c r="H10" s="14" t="n"/>
      <c r="I10" s="14" t="n"/>
      <c r="J10" s="14" t="n"/>
      <c r="K10" s="14" t="n"/>
      <c r="L10" s="14" t="n"/>
      <c r="M10" s="14" t="n"/>
      <c r="N10" s="14" t="n"/>
      <c r="O10" s="14" t="n"/>
      <c r="P10" s="14" t="n"/>
      <c r="Q10" s="14" t="n"/>
      <c r="R10" s="14" t="n"/>
    </row>
    <row r="11">
      <c r="A11" s="155" t="inlineStr">
        <is>
          <t>Form Tests 1</t>
        </is>
      </c>
      <c r="B11" s="155" t="inlineStr">
        <is>
          <t>Basic Form</t>
        </is>
      </c>
      <c r="C11" s="78" t="inlineStr">
        <is>
          <t>1. Submit Basic Form Tests &gt; Basic Form
2. Verify this is functional</t>
        </is>
      </c>
      <c r="D11" s="497" t="n"/>
      <c r="E11" s="522" t="n"/>
      <c r="F11" s="193" t="n"/>
      <c r="G11" s="74" t="n"/>
      <c r="H11" s="14" t="n"/>
      <c r="I11" s="14" t="n"/>
      <c r="J11" s="14" t="n"/>
      <c r="K11" s="14" t="n"/>
      <c r="L11" s="14" t="n"/>
      <c r="M11" s="14" t="n"/>
      <c r="N11" s="14" t="n"/>
      <c r="O11" s="14" t="n"/>
      <c r="P11" s="14" t="n"/>
      <c r="Q11" s="14" t="n"/>
      <c r="R11" s="14" t="n"/>
    </row>
    <row r="12">
      <c r="A12" s="155" t="inlineStr">
        <is>
          <t>Form Tests 2</t>
        </is>
      </c>
      <c r="B12" s="155" t="inlineStr">
        <is>
          <t>Question Types</t>
        </is>
      </c>
      <c r="C12" s="78" t="inlineStr">
        <is>
          <t>1. Submit Basic Form Tests &gt; Question Types
2. Ensure this is functional
(note that 'capture questions' (video, image, audio, GPS) are not functional)</t>
        </is>
      </c>
      <c r="D12" s="497" t="n"/>
      <c r="E12" s="522" t="n"/>
      <c r="F12" s="193" t="n"/>
      <c r="G12" s="74" t="n"/>
      <c r="H12" s="14" t="n"/>
      <c r="I12" s="14" t="n"/>
      <c r="J12" s="14" t="n"/>
      <c r="K12" s="14" t="n"/>
      <c r="L12" s="14" t="n"/>
      <c r="M12" s="14" t="n"/>
      <c r="N12" s="14" t="n"/>
      <c r="O12" s="14" t="n"/>
      <c r="P12" s="14" t="n"/>
      <c r="Q12" s="14" t="n"/>
      <c r="R12" s="14" t="n"/>
    </row>
    <row r="13">
      <c r="A13" s="155" t="inlineStr">
        <is>
          <t>Form Tests 3</t>
        </is>
      </c>
      <c r="B13" s="155" t="inlineStr">
        <is>
          <t>Case Tests</t>
        </is>
      </c>
      <c r="C13" s="78" t="inlineStr">
        <is>
          <t>1. Access: Basic Tests &gt; Case Tests
2. Proceed through:
a) Create a Case
b) Update a Case
c) Close a Case
3. Submit all and ensure the forms are functional</t>
        </is>
      </c>
      <c r="D13" s="497" t="n"/>
      <c r="E13" s="522" t="n"/>
      <c r="F13" s="193" t="n"/>
      <c r="G13" s="74" t="n"/>
      <c r="H13" s="14" t="n"/>
      <c r="I13" s="14" t="n"/>
      <c r="J13" s="14" t="n"/>
      <c r="K13" s="14" t="n"/>
      <c r="L13" s="14" t="n"/>
      <c r="M13" s="14" t="n"/>
      <c r="N13" s="14" t="n"/>
      <c r="O13" s="14" t="n"/>
      <c r="P13" s="14" t="n"/>
      <c r="Q13" s="14" t="n"/>
      <c r="R13" s="14" t="n"/>
    </row>
    <row r="14">
      <c r="A14" s="155" t="inlineStr">
        <is>
          <t>Exploratory</t>
        </is>
      </c>
      <c r="B14" s="155" t="inlineStr">
        <is>
          <t>General form submissions</t>
        </is>
      </c>
      <c r="C14" s="78" t="inlineStr">
        <is>
          <t>1. Explore the Basic Tests app and submit a handful more forms. This step does not need to be exhaustive</t>
        </is>
      </c>
      <c r="D14" s="497" t="n"/>
      <c r="E14" s="522" t="n"/>
      <c r="F14" s="193" t="n"/>
      <c r="G14" s="74" t="n"/>
      <c r="H14" s="14" t="n"/>
      <c r="I14" s="14" t="n"/>
      <c r="J14" s="14" t="n"/>
      <c r="K14" s="14" t="n"/>
      <c r="L14" s="14" t="n"/>
      <c r="M14" s="14" t="n"/>
      <c r="N14" s="14" t="n"/>
      <c r="O14" s="14" t="n"/>
      <c r="P14" s="14" t="n"/>
      <c r="Q14" s="14" t="n"/>
      <c r="R14" s="14" t="n"/>
    </row>
    <row r="15">
      <c r="A15" s="155" t="inlineStr">
        <is>
          <t>Sync</t>
        </is>
      </c>
      <c r="B15" s="155" t="inlineStr">
        <is>
          <t>Sync with Server and submission validation</t>
        </is>
      </c>
      <c r="C15" s="78" t="inlineStr">
        <is>
          <t>1. Sync with the server
2. Ensure you receive the Sync Successful message
3. Back on your laptop, navigate to the Submit History report and ensure the forms were received</t>
        </is>
      </c>
      <c r="D15" s="497" t="n"/>
      <c r="E15" s="522" t="n"/>
      <c r="F15" s="193" t="n"/>
      <c r="G15" s="43" t="n"/>
      <c r="H15" s="14" t="n"/>
      <c r="I15" s="14" t="n"/>
      <c r="J15" s="14" t="n"/>
      <c r="K15" s="14" t="n"/>
      <c r="L15" s="14" t="n"/>
      <c r="M15" s="14" t="n"/>
      <c r="N15" s="14" t="n"/>
      <c r="O15" s="14" t="n"/>
      <c r="P15" s="14" t="n"/>
      <c r="Q15" s="14" t="n"/>
      <c r="R15" s="14" t="n"/>
    </row>
    <row r="16">
      <c r="A16" s="83" t="n"/>
      <c r="B16" s="83" t="n"/>
      <c r="C16" s="87" t="n"/>
      <c r="D16" s="87" t="n"/>
      <c r="E16" s="87" t="n"/>
      <c r="F16" s="87" t="n"/>
      <c r="G16" s="43" t="n"/>
      <c r="H16" s="14" t="n"/>
      <c r="I16" s="14" t="n"/>
      <c r="J16" s="14" t="n"/>
      <c r="K16" s="14" t="n"/>
      <c r="L16" s="14" t="n"/>
      <c r="M16" s="14" t="n"/>
      <c r="N16" s="14" t="n"/>
      <c r="O16" s="14" t="n"/>
      <c r="P16" s="14" t="n"/>
      <c r="Q16" s="14" t="n"/>
      <c r="R16" s="14" t="n"/>
    </row>
    <row r="17">
      <c r="A17" s="157" t="inlineStr">
        <is>
          <t>The Following Tests are to be run upon completion of all other QA tests for the release</t>
        </is>
      </c>
      <c r="B17" s="639" t="n"/>
      <c r="C17" s="639" t="n"/>
      <c r="D17" s="639" t="n"/>
      <c r="E17" s="639" t="n"/>
      <c r="F17" s="638" t="n"/>
      <c r="G17" s="43" t="n"/>
      <c r="H17" s="14" t="n"/>
      <c r="I17" s="14" t="n"/>
      <c r="J17" s="14" t="n"/>
      <c r="K17" s="14" t="n"/>
      <c r="L17" s="14" t="n"/>
      <c r="M17" s="14" t="n"/>
      <c r="N17" s="14" t="n"/>
      <c r="O17" s="14" t="n"/>
      <c r="P17" s="14" t="n"/>
      <c r="Q17" s="14" t="n"/>
      <c r="R17" s="14" t="n"/>
    </row>
    <row r="18">
      <c r="A18" s="155" t="inlineStr">
        <is>
          <t>Install 1</t>
        </is>
      </c>
      <c r="B18" s="155" t="inlineStr">
        <is>
          <t>Open AVD</t>
        </is>
      </c>
      <c r="C18" s="98" t="inlineStr">
        <is>
          <t>1. Uninstall any commcare version present on the AVD
2. Drag and Drop the commcare apk of a publicly released version of CommCare (Check the version on playstore and download it from here)
3. Ensure that Commcare is installed</t>
        </is>
      </c>
      <c r="D18" s="497" t="n"/>
      <c r="E18" s="522" t="n"/>
      <c r="F18" s="193" t="n"/>
      <c r="G18" s="43" t="n"/>
      <c r="H18" s="14" t="n"/>
      <c r="I18" s="14" t="n"/>
      <c r="J18" s="14" t="n"/>
      <c r="K18" s="14" t="n"/>
      <c r="L18" s="14" t="n"/>
      <c r="M18" s="14" t="n"/>
      <c r="N18" s="14" t="n"/>
      <c r="O18" s="14" t="n"/>
      <c r="P18" s="14" t="n"/>
      <c r="Q18" s="14" t="n"/>
      <c r="R18" s="14" t="n"/>
    </row>
    <row r="19">
      <c r="A19" s="155" t="inlineStr">
        <is>
          <t>Install 2</t>
        </is>
      </c>
      <c r="B19" s="155" t="inlineStr">
        <is>
          <t>Install App</t>
        </is>
      </c>
      <c r="C19" s="72" t="inlineStr">
        <is>
          <t>1. Access Basic Tests (On your laptop, not in AVD)
2. Access the App Code of the release in test
3. Use the App Code to install Basic Tests
4. Login with: test1/123</t>
        </is>
      </c>
      <c r="D19" s="497" t="n"/>
      <c r="E19" s="522" t="n"/>
      <c r="F19" s="108" t="n"/>
      <c r="G19" s="14" t="n"/>
      <c r="H19" s="14" t="n"/>
      <c r="I19" s="14" t="n"/>
      <c r="J19" s="14" t="n"/>
      <c r="K19" s="14" t="n"/>
      <c r="L19" s="14" t="n"/>
      <c r="M19" s="14" t="n"/>
      <c r="N19" s="14" t="n"/>
      <c r="O19" s="14" t="n"/>
      <c r="P19" s="14" t="n"/>
      <c r="Q19" s="14" t="n"/>
      <c r="R19" s="14" t="n"/>
    </row>
    <row r="20">
      <c r="A20" s="95" t="inlineStr">
        <is>
          <t>Baseline 1</t>
        </is>
      </c>
      <c r="B20" s="155" t="inlineStr">
        <is>
          <t>Basic Form</t>
        </is>
      </c>
      <c r="C20" s="78" t="inlineStr">
        <is>
          <t>1. Submit Basic Form Tests &gt; Basic Form
2. Verify this is functional</t>
        </is>
      </c>
      <c r="D20" s="497" t="n"/>
      <c r="E20" s="522" t="n"/>
      <c r="F20" s="108" t="n"/>
      <c r="G20" s="14" t="n"/>
      <c r="H20" s="14" t="n"/>
      <c r="I20" s="14" t="n"/>
      <c r="J20" s="14" t="n"/>
      <c r="K20" s="14" t="n"/>
      <c r="L20" s="14" t="n"/>
      <c r="M20" s="14" t="n"/>
      <c r="N20" s="14" t="n"/>
      <c r="O20" s="14" t="n"/>
      <c r="P20" s="14" t="n"/>
      <c r="Q20" s="14" t="n"/>
      <c r="R20" s="14" t="n"/>
    </row>
    <row r="21">
      <c r="A21" s="95" t="inlineStr">
        <is>
          <t>Baseline 2</t>
        </is>
      </c>
      <c r="B21" s="155" t="inlineStr">
        <is>
          <t>Question Types</t>
        </is>
      </c>
      <c r="C21" s="78" t="inlineStr">
        <is>
          <t>1. Submit Basic Form Tests &gt; Question Types
2. Ensure this is functional
(note that 'capture questions' (video, image, audio, GPS) are not functional)</t>
        </is>
      </c>
      <c r="D21" s="497" t="n"/>
      <c r="E21" s="522" t="n"/>
      <c r="F21" s="108" t="n"/>
      <c r="G21" s="14" t="n"/>
      <c r="H21" s="14" t="n"/>
      <c r="I21" s="14" t="n"/>
      <c r="J21" s="14" t="n"/>
      <c r="K21" s="14" t="n"/>
      <c r="L21" s="14" t="n"/>
      <c r="M21" s="14" t="n"/>
      <c r="N21" s="14" t="n"/>
      <c r="O21" s="14" t="n"/>
      <c r="P21" s="14" t="n"/>
      <c r="Q21" s="14" t="n"/>
      <c r="R21" s="14" t="n"/>
    </row>
    <row r="22">
      <c r="A22" s="95" t="inlineStr">
        <is>
          <t>Baseline 3</t>
        </is>
      </c>
      <c r="B22" s="95" t="inlineStr">
        <is>
          <t>Incomplete</t>
        </is>
      </c>
      <c r="C22" s="108" t="inlineStr">
        <is>
          <t>1. Access several forms and save them as incomplete</t>
        </is>
      </c>
      <c r="D22" s="497" t="n"/>
      <c r="E22" s="522" t="n"/>
      <c r="F22" s="108" t="n"/>
      <c r="G22" s="14" t="n"/>
      <c r="H22" s="14" t="n"/>
      <c r="I22" s="14" t="n"/>
      <c r="J22" s="14" t="n"/>
      <c r="K22" s="14" t="n"/>
      <c r="L22" s="14" t="n"/>
      <c r="M22" s="14" t="n"/>
      <c r="N22" s="14" t="n"/>
      <c r="O22" s="14" t="n"/>
      <c r="P22" s="14" t="n"/>
      <c r="Q22" s="14" t="n"/>
      <c r="R22" s="14" t="n"/>
    </row>
    <row r="23">
      <c r="A23" s="95" t="inlineStr">
        <is>
          <t>Updates 1</t>
        </is>
      </c>
      <c r="B23" s="95" t="inlineStr">
        <is>
          <t>Update CommCare</t>
        </is>
      </c>
      <c r="C23" s="108" t="inlineStr">
        <is>
          <t>1. Access the virtual device
2. Drag and Drop the commcare apk in test to the virtual device's display
3. Ensure an Update applies to the CommCare app.</t>
        </is>
      </c>
      <c r="D23" s="497" t="n"/>
      <c r="E23" s="522" t="n"/>
      <c r="F23" s="108" t="n"/>
      <c r="G23" s="14" t="n"/>
      <c r="H23" s="14" t="n"/>
      <c r="I23" s="14" t="n"/>
      <c r="J23" s="14" t="n"/>
      <c r="K23" s="14" t="n"/>
      <c r="L23" s="14" t="n"/>
      <c r="M23" s="14" t="n"/>
      <c r="N23" s="14" t="n"/>
      <c r="O23" s="14" t="n"/>
      <c r="P23" s="14" t="n"/>
      <c r="Q23" s="14" t="n"/>
      <c r="R23" s="14" t="n"/>
    </row>
    <row r="24">
      <c r="A24" s="95" t="inlineStr">
        <is>
          <t>Updates 3</t>
        </is>
      </c>
      <c r="B24" s="95" t="inlineStr">
        <is>
          <t>Verification</t>
        </is>
      </c>
      <c r="C24" s="108" t="inlineStr">
        <is>
          <t>1. Once the new app version is updated, verify that:
a) The the app starts up and runs correctly
b) The version number in the "About CommCare" menu selection is the full three-part version of the new release (IE: 2.49.5)
c) You are still able to log in to the user account you synced previously (without syncing with the server again)
d) You're able to see the submitted forms and incomplete forms
e) You're able to finish and submit the incomplete forms</t>
        </is>
      </c>
      <c r="D24" s="497" t="n"/>
      <c r="E24" s="522" t="n"/>
      <c r="F24" s="108" t="n"/>
      <c r="G24" s="14" t="n"/>
      <c r="H24" s="14" t="n"/>
      <c r="I24" s="14" t="n"/>
      <c r="J24" s="14" t="n"/>
      <c r="K24" s="14" t="n"/>
      <c r="L24" s="14" t="n"/>
      <c r="M24" s="14" t="n"/>
      <c r="N24" s="14" t="n"/>
      <c r="O24" s="14" t="n"/>
      <c r="P24" s="14" t="n"/>
      <c r="Q24" s="14" t="n"/>
      <c r="R24" s="14" t="n"/>
    </row>
  </sheetData>
  <mergeCells count="7">
    <mergeCell ref="B2:C2"/>
    <mergeCell ref="B3:C3"/>
    <mergeCell ref="B5:C5"/>
    <mergeCell ref="D1:E5"/>
    <mergeCell ref="A17:F17"/>
    <mergeCell ref="B1:C1"/>
    <mergeCell ref="B4:C4"/>
  </mergeCells>
  <conditionalFormatting sqref="D8:D15 D18:D24">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5 D18:D24" showDropDown="0" showInputMessage="0" showErrorMessage="1" allowBlank="1" type="list">
      <formula1>"Pass,Fail,N/A,Blocking"</formula1>
    </dataValidation>
  </dataValidations>
  <hyperlinks>
    <hyperlink ref="D1" location="Browserstack!A1" display="Note: Browserstack and Android Virtual Devices tabs are essentially the same. Any one tab can be executed."/>
    <hyperlink xmlns:r="http://schemas.openxmlformats.org/officeDocument/2006/relationships" ref="B3" r:id="rId1"/>
    <hyperlink xmlns:r="http://schemas.openxmlformats.org/officeDocument/2006/relationships" ref="C8" r:id="rId2"/>
    <hyperlink xmlns:r="http://schemas.openxmlformats.org/officeDocument/2006/relationships" ref="C10" r:id="rId3"/>
    <hyperlink xmlns:r="http://schemas.openxmlformats.org/officeDocument/2006/relationships" ref="C18" r:id="rId4"/>
    <hyperlink xmlns:r="http://schemas.openxmlformats.org/officeDocument/2006/relationships" ref="C19" r:id="rId5"/>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S14"/>
  <sheetViews>
    <sheetView workbookViewId="0">
      <selection activeCell="A1" sqref="A1"/>
    </sheetView>
  </sheetViews>
  <sheetFormatPr baseColWidth="8" defaultColWidth="17.29" defaultRowHeight="15" customHeight="1"/>
  <cols>
    <col width="17.29" customWidth="1" style="629" min="1" max="1"/>
    <col width="28" customWidth="1" style="629" min="2" max="2"/>
    <col width="62.86" customWidth="1" style="629" min="3" max="3"/>
    <col width="24.86" customWidth="1" style="629" min="4" max="5"/>
    <col width="15.57" customWidth="1" style="629" min="6" max="7"/>
    <col width="21.29" customWidth="1" style="629" min="8" max="8"/>
    <col width="22" customWidth="1" style="629" min="9" max="17"/>
    <col width="22" customWidth="1" style="629" min="10" max="10"/>
    <col width="22" customWidth="1" style="629" min="11" max="11"/>
    <col width="14.43" customWidth="1" style="629" min="18" max="19"/>
  </cols>
  <sheetData>
    <row r="1">
      <c r="A1" s="85" t="inlineStr">
        <is>
          <t>Test Area</t>
        </is>
      </c>
      <c r="B1" s="155" t="inlineStr">
        <is>
          <t>Setup and installation</t>
        </is>
      </c>
      <c r="C1" s="638" t="n"/>
      <c r="D1" s="45" t="n"/>
      <c r="E1" s="45" t="n"/>
      <c r="F1" s="44" t="n"/>
      <c r="G1" s="44" t="n"/>
      <c r="H1" s="45" t="n"/>
      <c r="I1" s="45" t="n"/>
      <c r="J1" s="45" t="n"/>
      <c r="K1" s="45" t="n"/>
      <c r="L1" s="45" t="n"/>
      <c r="M1" s="45" t="n"/>
      <c r="N1" s="45" t="n"/>
      <c r="O1" s="45" t="n"/>
      <c r="P1" s="45" t="n"/>
      <c r="Q1" s="45" t="n"/>
      <c r="R1" s="45" t="n"/>
      <c r="S1" s="45" t="n"/>
    </row>
    <row r="2" ht="25.5" customHeight="1" s="629">
      <c r="A2" s="85" t="inlineStr">
        <is>
          <t>Summary:</t>
        </is>
      </c>
      <c r="B2" s="155" t="inlineStr">
        <is>
          <t>Test the application install interface</t>
        </is>
      </c>
      <c r="C2" s="638" t="n"/>
      <c r="D2" s="45" t="n"/>
      <c r="E2" s="45" t="n"/>
      <c r="F2" s="45" t="n"/>
      <c r="G2" s="45" t="n"/>
      <c r="H2" s="45" t="n"/>
      <c r="I2" s="45" t="n"/>
      <c r="J2" s="45" t="n"/>
      <c r="K2" s="45" t="n"/>
      <c r="L2" s="45" t="n"/>
      <c r="M2" s="45" t="n"/>
      <c r="N2" s="45" t="n"/>
      <c r="O2" s="45" t="n"/>
      <c r="P2" s="45" t="n"/>
      <c r="Q2" s="45" t="n"/>
      <c r="R2" s="45" t="n"/>
      <c r="S2" s="45" t="n"/>
    </row>
    <row r="3" ht="22.5" customHeight="1" s="629">
      <c r="A3" s="85" t="inlineStr">
        <is>
          <t>Domain:</t>
        </is>
      </c>
      <c r="B3" s="655">
        <f>HYPERLINK("https://www.commcarehq.org/a/qateam/apps/view/cdfa6c85eb594b23b0c08729cd2beff1/","https://www.commcarehq.org/a/qateam/apps/view/cdfa6c85eb594b23b0c08729cd2beff1/")</f>
        <v/>
      </c>
      <c r="C3" s="638" t="n"/>
      <c r="D3" s="45" t="n"/>
      <c r="E3" s="45" t="n"/>
      <c r="F3" s="45" t="n"/>
      <c r="G3" s="45" t="n"/>
      <c r="H3" s="45" t="n"/>
      <c r="I3" s="45" t="n"/>
      <c r="J3" s="45" t="n"/>
      <c r="K3" s="45" t="n"/>
      <c r="L3" s="45" t="n"/>
      <c r="M3" s="45" t="n"/>
      <c r="N3" s="45" t="n"/>
      <c r="O3" s="45" t="n"/>
      <c r="P3" s="45" t="n"/>
      <c r="Q3" s="45" t="n"/>
      <c r="R3" s="45" t="n"/>
      <c r="S3" s="45" t="n"/>
    </row>
    <row r="4">
      <c r="A4" s="85" t="inlineStr">
        <is>
          <t xml:space="preserve">Application: </t>
        </is>
      </c>
      <c r="B4" s="155" t="inlineStr">
        <is>
          <t>Basic Test</t>
        </is>
      </c>
      <c r="C4" s="638" t="n"/>
      <c r="D4" s="45" t="n"/>
      <c r="E4" s="45" t="n"/>
      <c r="F4" s="45" t="n"/>
      <c r="G4" s="45" t="n"/>
      <c r="H4" s="45" t="n"/>
      <c r="I4" s="45" t="n"/>
      <c r="J4" s="45" t="n"/>
      <c r="K4" s="45" t="n"/>
      <c r="L4" s="45" t="n"/>
      <c r="M4" s="45" t="n"/>
      <c r="N4" s="45" t="n"/>
      <c r="O4" s="45" t="n"/>
      <c r="P4" s="45" t="n"/>
      <c r="Q4" s="45" t="n"/>
      <c r="R4" s="45" t="n"/>
      <c r="S4" s="45" t="n"/>
    </row>
    <row r="5">
      <c r="A5" s="85" t="inlineStr">
        <is>
          <t>Prerequisites:</t>
        </is>
      </c>
      <c r="B5" s="155" t="inlineStr">
        <is>
          <t>ES File Manager and a barcode scanner must be downloaded to the device.</t>
        </is>
      </c>
      <c r="C5" s="638" t="n"/>
      <c r="D5" s="45" t="n"/>
      <c r="E5" s="45" t="n"/>
      <c r="F5" s="45" t="n"/>
      <c r="G5" s="45" t="n"/>
      <c r="H5" s="45" t="n"/>
      <c r="I5" s="45" t="n"/>
      <c r="J5" s="45" t="n"/>
      <c r="K5" s="45" t="n"/>
      <c r="L5" s="45" t="n"/>
      <c r="M5" s="45" t="n"/>
      <c r="N5" s="45" t="n"/>
      <c r="O5" s="45" t="n"/>
      <c r="P5" s="45" t="n"/>
      <c r="Q5" s="45" t="n"/>
      <c r="R5" s="45" t="n"/>
      <c r="S5" s="45" t="n"/>
    </row>
    <row r="6">
      <c r="A6" s="80" t="n"/>
      <c r="B6" s="82" t="n"/>
      <c r="C6" s="82" t="n"/>
      <c r="D6" s="82" t="n"/>
      <c r="E6" s="82" t="n"/>
      <c r="F6" s="82" t="n"/>
      <c r="G6" s="82" t="n"/>
      <c r="H6" s="45" t="n"/>
      <c r="I6" s="45" t="n"/>
      <c r="J6" s="45" t="n"/>
      <c r="K6" s="45" t="n"/>
      <c r="L6" s="45" t="n"/>
      <c r="M6" s="45" t="n"/>
      <c r="N6" s="45" t="n"/>
      <c r="O6" s="45" t="n"/>
      <c r="P6" s="45" t="n"/>
      <c r="Q6" s="45" t="n"/>
      <c r="R6" s="45" t="n"/>
      <c r="S6" s="45" t="n"/>
    </row>
    <row r="7">
      <c r="A7" s="85" t="inlineStr">
        <is>
          <t>Test Case ID</t>
        </is>
      </c>
      <c r="B7" s="85" t="inlineStr">
        <is>
          <t>Summary</t>
        </is>
      </c>
      <c r="C7" s="85" t="inlineStr">
        <is>
          <t>Steps</t>
        </is>
      </c>
      <c r="D7" s="85" t="inlineStr">
        <is>
          <t>Expected Result</t>
        </is>
      </c>
      <c r="E7" s="85" t="inlineStr">
        <is>
          <t>Pass/Fail</t>
        </is>
      </c>
      <c r="F7" s="85" t="inlineStr">
        <is>
          <t>Ticket ID</t>
        </is>
      </c>
      <c r="G7" s="85" t="inlineStr">
        <is>
          <t>Notes</t>
        </is>
      </c>
      <c r="H7" s="89" t="n"/>
      <c r="I7" s="656" t="inlineStr">
        <is>
          <t>Maestro Automatability</t>
        </is>
      </c>
      <c r="J7" s="656" t="inlineStr">
        <is>
          <t>Automated?</t>
        </is>
      </c>
      <c r="K7" s="656" t="inlineStr">
        <is>
          <t>Flow File</t>
        </is>
      </c>
      <c r="L7" s="45" t="n"/>
      <c r="M7" s="45" t="n"/>
      <c r="N7" s="45" t="n"/>
      <c r="O7" s="45" t="n"/>
      <c r="P7" s="45" t="n"/>
      <c r="Q7" s="45" t="n"/>
      <c r="R7" s="45" t="n"/>
      <c r="S7" s="45" t="n"/>
    </row>
    <row r="8" ht="76.5" customHeight="1" s="629">
      <c r="A8" s="155" t="inlineStr">
        <is>
          <t>Setup 1</t>
        </is>
      </c>
      <c r="B8" s="155" t="inlineStr">
        <is>
          <t>Download Latest Commacare app</t>
        </is>
      </c>
      <c r="C8" s="155" t="inlineStr">
        <is>
          <t>1. Uninstall any existing CommCare app from your device.
2. Install the the CommCare version in test using the link shared (on the ticket)
3. Once the installation is complete, open the application to verify the application installed properly.</t>
        </is>
      </c>
      <c r="D8" s="95" t="n"/>
      <c r="E8" s="564" t="n"/>
      <c r="F8" s="94" t="n"/>
      <c r="G8" s="94" t="n"/>
      <c r="H8" s="106" t="n"/>
      <c r="I8" s="45" t="inlineStr">
        <is>
          <t>Automatable</t>
        </is>
      </c>
      <c r="J8" s="659" t="inlineStr">
        <is>
          <t>Yes</t>
        </is>
      </c>
      <c r="K8" s="45" t="inlineStr">
        <is>
          <t>(handled by scripts/download_apk.py - no dedicated flow needed)</t>
        </is>
      </c>
      <c r="L8" s="45" t="n"/>
      <c r="M8" s="45" t="n"/>
      <c r="N8" s="45" t="n"/>
      <c r="O8" s="45" t="n"/>
      <c r="P8" s="45" t="n"/>
      <c r="Q8" s="45" t="n"/>
      <c r="R8" s="45" t="n"/>
      <c r="S8" s="45" t="n"/>
    </row>
    <row r="9" ht="114.75" customHeight="1" s="629">
      <c r="A9" s="155" t="inlineStr">
        <is>
          <t>Install 1</t>
        </is>
      </c>
      <c r="B9" s="155" t="inlineStr">
        <is>
          <t>Scan Barcode Install</t>
        </is>
      </c>
      <c r="C9" s="155" t="inlineStr">
        <is>
          <t>1. Proceed to https://www.commcarehq.org/a/qateam/apps/view/cdfa6c85eb594b23b0c08729cd2beff1/
2. Select the publish button of the most recent build in Deploy page
3. Select the check box "Include Multimedia"
4. Select 'Scan Application Barcode' link. A window with a barcode should appear.
5. Now open CommCare app on device and Select Scan Application Barcode.
6. Scan the barcode displayed on CommCareHQ.
7. Select "Start Install"
8. Wait for application to install and verify you are brought to the login page on the device.</t>
        </is>
      </c>
      <c r="D9" s="95" t="n"/>
      <c r="E9" s="564" t="inlineStr">
        <is>
          <t>Requires scanning a QR barcode rendered on a live HQ desktop-browser page with the device's own camera - a cross-surface (webpage &lt;-&gt; device camera) interaction BrowserStack's Maestro sessions have no camera-image-injection hook for (same limitation as Mobile Pins' own 'Claim Privileges' barcode-scan step).</t>
        </is>
      </c>
      <c r="F9" s="94" t="n"/>
      <c r="G9" s="94" t="inlineStr">
        <is>
          <t>Steps 4-6 (camera-scan a QR barcode off an HQ desktop page) stay genuinely untested - same confirmed camera-image-injection dead end as Mobile Pins' own QR-claim step. But the row's real intent (publish + include-media, install, reach the login screen) is fully covered another way: the barcode encodes the identical short code HQ's own "Enter Code" panel shows alongside it (get_app_install_code, include_media=True). Closed 2026-09-01 via flows/install/install_01_scan_barcode.yaml (install_app_by_code.yaml + that code), confirmed live.</t>
        </is>
      </c>
      <c r="H9" s="106" t="n"/>
      <c r="I9" s="45" t="inlineStr">
        <is>
          <t>Partial</t>
        </is>
      </c>
      <c r="J9" s="658" t="inlineStr">
        <is>
          <t>Yes</t>
        </is>
      </c>
      <c r="K9" s="45" t="inlineStr">
        <is>
          <t>flows/install/install_01_scan_barcode.yaml</t>
        </is>
      </c>
      <c r="L9" s="45" t="n"/>
      <c r="M9" s="45" t="n"/>
      <c r="N9" s="45" t="n"/>
      <c r="O9" s="45" t="n"/>
      <c r="P9" s="45" t="n"/>
      <c r="Q9" s="45" t="n"/>
      <c r="R9" s="45" t="n"/>
      <c r="S9" s="45" t="n"/>
    </row>
    <row r="10" ht="65.25" customHeight="1" s="629">
      <c r="A10" s="155" t="inlineStr">
        <is>
          <t>Install 4</t>
        </is>
      </c>
      <c r="B10" s="155" t="inlineStr">
        <is>
          <t>Verifying menu item- "See Apps for My user”</t>
        </is>
      </c>
      <c r="C10" s="155" t="inlineStr">
        <is>
          <t>1. Uninstall the existing CommCare app from your device.
2.Re-install the the CommCare version in test using the link shared (on the ticket)
3. On the installation screen ,click on Menu icon(3 dots) on the top right corner
4."See Apps for My User” option should be displayed</t>
        </is>
      </c>
      <c r="D10" s="155" t="inlineStr">
        <is>
          <t>When clicked on Menu icon '”See Apps for My user” option should be displayed</t>
        </is>
      </c>
      <c r="E10" s="564" t="n"/>
      <c r="F10" s="94" t="n"/>
      <c r="G10" s="94" t="n"/>
      <c r="H10" s="106" t="n"/>
      <c r="I10" s="45" t="inlineStr">
        <is>
          <t>Automatable</t>
        </is>
      </c>
      <c r="J10" s="659" t="inlineStr">
        <is>
          <t>Yes</t>
        </is>
      </c>
      <c r="K10" s="45" t="inlineStr">
        <is>
          <t>flows/install/install_04_see_apps_menu_item_visible.yaml</t>
        </is>
      </c>
      <c r="L10" s="45" t="n"/>
      <c r="M10" s="45" t="n"/>
      <c r="N10" s="45" t="n"/>
      <c r="O10" s="45" t="n"/>
      <c r="P10" s="45" t="n"/>
      <c r="Q10" s="45" t="n"/>
      <c r="R10" s="45" t="n"/>
      <c r="S10" s="45" t="n"/>
    </row>
    <row r="11" ht="93" customHeight="1" s="629">
      <c r="A11" s="155" t="inlineStr">
        <is>
          <t>Install 5</t>
        </is>
      </c>
      <c r="B11" s="155" t="inlineStr">
        <is>
          <t>Verifying mobile user page</t>
        </is>
      </c>
      <c r="C11" s="155" t="inlineStr">
        <is>
          <t>1.Click on See Apps for My User” option
2. Mobile user Login page should be displayed with following entities
(a) Message-Login in as a mobile or web user to see a list of apps you can install 
(b)Mobile user should be highlighted
(c)username,domain and password input fields
(d)'see available apps' button
3.Click on see available apps button</t>
        </is>
      </c>
      <c r="D11" s="155" t="inlineStr">
        <is>
          <t>All a,b,c,d should be displayed and 'please enter all required fields' error message should be displayed when clicked on see available apps button</t>
        </is>
      </c>
      <c r="E11" s="564" t="n"/>
      <c r="F11" s="101" t="n"/>
      <c r="G11" s="101" t="n"/>
      <c r="H11" s="166" t="n"/>
      <c r="I11" s="45" t="inlineStr">
        <is>
          <t>Automatable</t>
        </is>
      </c>
      <c r="J11" s="659" t="inlineStr">
        <is>
          <t>Yes</t>
        </is>
      </c>
      <c r="K11" s="45" t="inlineStr">
        <is>
          <t>flows/install/install_05_mobile_user_login_page.yaml</t>
        </is>
      </c>
      <c r="L11" s="45" t="n"/>
      <c r="M11" s="45" t="n"/>
      <c r="N11" s="45" t="n"/>
      <c r="O11" s="45" t="n"/>
      <c r="P11" s="45" t="n"/>
      <c r="Q11" s="45" t="n"/>
      <c r="R11" s="45" t="n"/>
      <c r="S11" s="45" t="n"/>
    </row>
    <row r="12">
      <c r="A12" s="155" t="inlineStr">
        <is>
          <t>Install 6</t>
        </is>
      </c>
      <c r="B12" s="155" t="inlineStr">
        <is>
          <t>Verifying web user page</t>
        </is>
      </c>
      <c r="C12" s="155" t="inlineStr">
        <is>
          <t>1.Click on See Apps for My User” option and swipe the mobile user bar to left side
2.Web user Login page should be displayed with following entities
(a) Message-Login in as a mobile or web user to see a list of apps you can install 
(b)Web user should be highlighted
(c)Email Address,and password input fields
(d)'see available apps' button
3.Click on see available apps button</t>
        </is>
      </c>
      <c r="D12" s="155" t="inlineStr">
        <is>
          <t>All a,b,c,d should be displayed and 'please enter all required fields' error message should be displayed when clicked on see available apps button</t>
        </is>
      </c>
      <c r="E12" s="564" t="n"/>
      <c r="F12" s="94" t="n"/>
      <c r="G12" s="94" t="n"/>
      <c r="H12" s="106" t="n"/>
      <c r="I12" s="45" t="inlineStr">
        <is>
          <t>Automatable</t>
        </is>
      </c>
      <c r="J12" s="659" t="inlineStr">
        <is>
          <t>Yes</t>
        </is>
      </c>
      <c r="K12" s="45" t="inlineStr">
        <is>
          <t>flows/install/install_06_web_user_login_page.yaml</t>
        </is>
      </c>
      <c r="L12" s="45" t="n"/>
      <c r="M12" s="45" t="n"/>
      <c r="N12" s="45" t="n"/>
      <c r="O12" s="45" t="n"/>
      <c r="P12" s="45" t="n"/>
      <c r="Q12" s="45" t="n"/>
      <c r="R12" s="45" t="n"/>
      <c r="S12" s="45" t="n"/>
    </row>
    <row r="13">
      <c r="A13" s="155" t="inlineStr">
        <is>
          <t>Install 7</t>
        </is>
      </c>
      <c r="B13" s="155" t="inlineStr">
        <is>
          <t>Install app as a mobile user</t>
        </is>
      </c>
      <c r="C13" s="155" t="inlineStr">
        <is>
          <t>1.Click on See Apps for My User” option
2.Enter valid username,domain and password
3.Click on see available apps
4.Select the app to be installed</t>
        </is>
      </c>
      <c r="D13" s="155" t="inlineStr">
        <is>
          <t>Selected app should be installed</t>
        </is>
      </c>
      <c r="E13" s="564" t="inlineStr">
        <is>
          <t>flows/install/install_07_install_as_mobile_user.yaml - Partial because it needs a valid HQ mobile-worker username/domain/password.</t>
        </is>
      </c>
      <c r="F13" s="94" t="n"/>
      <c r="G13" s="94" t="inlineStr">
        <is>
          <t>Partial: automated end-to-end using this program's own fixed HQ mobile-worker test credential (flows/install/install_07_install_as_mobile_user.yaml drives edit_username/edit_domain/edit_password, same as InstallFromListTest.kt) - covers the real install mechanics, not arbitrary/invalid-credential handling.</t>
        </is>
      </c>
      <c r="H13" s="106" t="n"/>
      <c r="I13" s="45" t="inlineStr">
        <is>
          <t>Partial</t>
        </is>
      </c>
      <c r="J13" s="659" t="inlineStr">
        <is>
          <t>Yes</t>
        </is>
      </c>
      <c r="K13" s="45" t="inlineStr">
        <is>
          <t>flows/install/install_07_install_as_mobile_user.yaml</t>
        </is>
      </c>
      <c r="L13" s="45" t="n"/>
      <c r="M13" s="45" t="n"/>
      <c r="N13" s="45" t="n"/>
      <c r="O13" s="45" t="n"/>
      <c r="P13" s="45" t="n"/>
      <c r="Q13" s="45" t="n"/>
      <c r="R13" s="45" t="n"/>
      <c r="S13" s="45" t="n"/>
    </row>
    <row r="14">
      <c r="A14" s="155" t="inlineStr">
        <is>
          <t>Install 8</t>
        </is>
      </c>
      <c r="B14" s="155" t="inlineStr">
        <is>
          <t>Install app as a web user</t>
        </is>
      </c>
      <c r="C14" s="155" t="inlineStr">
        <is>
          <t>1.Click on See Apps for My User” option
2.Swipe the mobile user bar to left side
3.Enter valid username and password
4.Click on see available apps
5.Select the app to be installed</t>
        </is>
      </c>
      <c r="D14" s="155" t="inlineStr">
        <is>
          <t>Selected app should be installed</t>
        </is>
      </c>
      <c r="E14" s="564" t="inlineStr">
        <is>
          <t>flows/install/install_08_install_as_web_user.yaml - Partial because it needs a valid HQ web-user email/password.</t>
        </is>
      </c>
      <c r="F14" s="155" t="n"/>
      <c r="G14" s="155" t="inlineStr">
        <is>
          <t>Partial: automated end-to-end using this program's own fixed HQ web-user test credential (flows/install/install_08_install_as_web_user.yaml) - covers the real install mechanics, not arbitrary/invalid-credential handling.</t>
        </is>
      </c>
      <c r="H14" s="106" t="n"/>
      <c r="I14" s="45" t="inlineStr">
        <is>
          <t>Partial</t>
        </is>
      </c>
      <c r="J14" s="659" t="inlineStr">
        <is>
          <t>Yes</t>
        </is>
      </c>
      <c r="K14" s="45" t="inlineStr">
        <is>
          <t>flows/install/install_08_install_as_web_user.yaml</t>
        </is>
      </c>
      <c r="L14" s="45" t="n"/>
      <c r="M14" s="45" t="n"/>
      <c r="N14" s="45" t="n"/>
      <c r="O14" s="45" t="n"/>
      <c r="P14" s="45" t="n"/>
      <c r="Q14" s="45" t="n"/>
      <c r="R14" s="45" t="n"/>
      <c r="S14" s="45" t="n"/>
    </row>
  </sheetData>
  <mergeCells count="5">
    <mergeCell ref="B2:C2"/>
    <mergeCell ref="B3:C3"/>
    <mergeCell ref="B5:C5"/>
    <mergeCell ref="B1:C1"/>
    <mergeCell ref="B4:C4"/>
  </mergeCells>
  <conditionalFormatting sqref="E8:E14">
    <cfRule type="containsText" priority="1" operator="containsText" dxfId="0" text="Pass">
      <formula>NOT(ISERROR(SEARCH(("Pass"),(E8))))</formula>
    </cfRule>
    <cfRule type="containsText" priority="2" operator="containsText" dxfId="1" text="Fail">
      <formula>NOT(ISERROR(SEARCH(("Fail"),(E8))))</formula>
    </cfRule>
    <cfRule type="containsText" priority="3" operator="containsText" dxfId="2" text="N/A">
      <formula>NOT(ISERROR(SEARCH(("N/A"),(E8))))</formula>
    </cfRule>
    <cfRule type="containsText" priority="4" operator="containsText" dxfId="3" text="Blocking">
      <formula>NOT(ISERROR(SEARCH(("Blocking"),(E8))))</formula>
    </cfRule>
  </conditionalFormatting>
  <dataValidations count="1">
    <dataValidation sqref="E8:E14" showDropDown="0" showInputMessage="0" showErrorMessage="1" allowBlank="1" type="list">
      <formula1>"Pass,Fail,N/A,Blocking"</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K10"/>
  <sheetViews>
    <sheetView workbookViewId="0">
      <selection activeCell="A1" sqref="A1"/>
    </sheetView>
  </sheetViews>
  <sheetFormatPr baseColWidth="8" defaultColWidth="17.29" defaultRowHeight="15" customHeight="1"/>
  <cols>
    <col width="16.29" customWidth="1" style="629" min="1" max="1"/>
    <col width="49.57" customWidth="1" style="629" min="2" max="2"/>
    <col width="69.86" customWidth="1" style="629" min="3" max="3"/>
    <col width="16.86" customWidth="1" style="629" min="4" max="4"/>
    <col width="13.86" customWidth="1" style="629" min="5" max="6"/>
    <col width="15" customWidth="1" style="629" min="7" max="7"/>
    <col width="21.43" customWidth="1" style="629" min="8" max="8"/>
    <col width="8.710000000000001" customWidth="1" style="629" min="9" max="9"/>
  </cols>
  <sheetData>
    <row r="1" ht="12.75" customHeight="1" s="629">
      <c r="A1" s="115" t="inlineStr">
        <is>
          <t>Test Area:</t>
        </is>
      </c>
      <c r="B1" s="193" t="inlineStr">
        <is>
          <t>CommCare ODK App</t>
        </is>
      </c>
      <c r="C1" s="638" t="n"/>
      <c r="D1" s="129" t="n"/>
      <c r="E1" s="129" t="n"/>
      <c r="F1" s="129" t="n"/>
      <c r="G1" s="126" t="n"/>
      <c r="H1" s="140" t="n"/>
      <c r="I1" s="140" t="n"/>
    </row>
    <row r="2" ht="12.75" customHeight="1" s="629">
      <c r="A2" s="115" t="inlineStr">
        <is>
          <t>Summary:</t>
        </is>
      </c>
      <c r="B2" s="193" t="inlineStr">
        <is>
          <t>Test the login functionality.</t>
        </is>
      </c>
      <c r="C2" s="638" t="n"/>
      <c r="D2" s="129" t="n"/>
      <c r="E2" s="129" t="n"/>
      <c r="F2" s="129" t="n"/>
      <c r="G2" s="126" t="n"/>
      <c r="H2" s="140" t="n"/>
      <c r="I2" s="140" t="n"/>
    </row>
    <row r="3" ht="38.25" customHeight="1" s="629">
      <c r="A3" s="115" t="inlineStr">
        <is>
          <t>Domain:</t>
        </is>
      </c>
      <c r="B3" s="660">
        <f>HYPERLINK("https://www.commcarehq.org/a/qateam/apps/view/cdfa6c85eb594b23b0c08729cd2beff1/","https://www.commcarehq.org/a/qateam/apps/view/cdfa6c85eb594b23b0c08729cd2beff1/")</f>
        <v/>
      </c>
      <c r="C3" s="638" t="n"/>
      <c r="D3" s="129" t="n"/>
      <c r="E3" s="129" t="n"/>
      <c r="F3" s="129" t="n"/>
      <c r="G3" s="126" t="n"/>
      <c r="H3" s="140" t="n"/>
      <c r="I3" s="140" t="n"/>
    </row>
    <row r="4" ht="12.75" customHeight="1" s="629">
      <c r="A4" s="115" t="inlineStr">
        <is>
          <t xml:space="preserve">Application: </t>
        </is>
      </c>
      <c r="B4" s="193" t="inlineStr">
        <is>
          <t>Basic Test</t>
        </is>
      </c>
      <c r="C4" s="638" t="n"/>
      <c r="D4" s="129" t="n"/>
      <c r="E4" s="129" t="n"/>
      <c r="F4" s="129" t="n"/>
      <c r="G4" s="126" t="n"/>
      <c r="H4" s="140" t="n"/>
      <c r="I4" s="140" t="n"/>
    </row>
    <row r="5" ht="12.75" customHeight="1" s="629">
      <c r="A5" s="115" t="inlineStr">
        <is>
          <t>Prerequisites:</t>
        </is>
      </c>
      <c r="B5" s="196" t="inlineStr">
        <is>
          <t>Install Test Plan - Setup 1 and Install Case 1, 2, 3 or 4</t>
        </is>
      </c>
      <c r="C5" s="638" t="n"/>
      <c r="D5" s="139" t="n"/>
      <c r="E5" s="139" t="n"/>
      <c r="F5" s="139" t="n"/>
      <c r="G5" s="126" t="n"/>
      <c r="H5" s="140" t="n"/>
      <c r="I5" s="140" t="n"/>
    </row>
    <row r="6" ht="12.75" customHeight="1" s="629">
      <c r="A6" s="140" t="n"/>
      <c r="B6" s="140" t="n"/>
      <c r="C6" s="140" t="n"/>
      <c r="D6" s="140" t="n"/>
      <c r="E6" s="140" t="n"/>
      <c r="F6" s="140" t="n"/>
      <c r="G6" s="139" t="n"/>
      <c r="H6" s="140" t="n"/>
      <c r="I6" s="140" t="n"/>
    </row>
    <row r="7" ht="12.75" customHeight="1" s="629">
      <c r="A7" s="115" t="inlineStr">
        <is>
          <t>Test Case ID</t>
        </is>
      </c>
      <c r="B7" s="115" t="inlineStr">
        <is>
          <t>Summary</t>
        </is>
      </c>
      <c r="C7" s="115" t="inlineStr">
        <is>
          <t>Steps</t>
        </is>
      </c>
      <c r="D7" s="115" t="inlineStr">
        <is>
          <t>Pass / Fail</t>
        </is>
      </c>
      <c r="E7" s="115" t="inlineStr">
        <is>
          <t>Notes</t>
        </is>
      </c>
      <c r="F7" s="115" t="inlineStr">
        <is>
          <t>Ticket ID</t>
        </is>
      </c>
      <c r="G7" s="143" t="n"/>
      <c r="H7" s="140" t="n"/>
      <c r="I7" s="140" t="inlineStr">
        <is>
          <t>Maestro Automatability</t>
        </is>
      </c>
      <c r="J7" s="0" t="inlineStr">
        <is>
          <t>Automated?</t>
        </is>
      </c>
      <c r="K7" s="0" t="inlineStr">
        <is>
          <t>Flow File</t>
        </is>
      </c>
    </row>
    <row r="8" ht="48" customHeight="1" s="629">
      <c r="A8" s="193" t="inlineStr">
        <is>
          <t>CommCare ODK 1</t>
        </is>
      </c>
      <c r="B8" s="193" t="inlineStr">
        <is>
          <t>Login</t>
        </is>
      </c>
      <c r="C8" s="193" t="inlineStr">
        <is>
          <t>1. Open CommCare.
2. Enter the username "test1" and password "123" and select "Log In"
3. Verify that a message box pops up saying it's logging in
4. Verify you are directed to the CommCare home screen once successfully logged in.</t>
        </is>
      </c>
      <c r="D8" s="137" t="n"/>
      <c r="E8" s="193" t="inlineStr">
        <is>
          <t>flows/login/commcare_odk_01_login.yaml - tagged automatable in-repo (not Partial); fully verifies username/password entry, the 'logging in' progress message, and reaching the home screen.</t>
        </is>
      </c>
      <c r="F8" s="193" t="n"/>
      <c r="I8" s="140" t="inlineStr">
        <is>
          <t>Automatable</t>
        </is>
      </c>
      <c r="J8" s="0" t="inlineStr">
        <is>
          <t>Yes</t>
        </is>
      </c>
      <c r="K8" s="0" t="inlineStr">
        <is>
          <t>flows/login/commcare_odk_01_login.yaml</t>
        </is>
      </c>
    </row>
    <row r="9" ht="48" customHeight="1" s="629">
      <c r="A9" s="193" t="inlineStr">
        <is>
          <t>CommCare ODK 2</t>
        </is>
      </c>
      <c r="B9" s="193" t="inlineStr">
        <is>
          <t>Check Session</t>
        </is>
      </c>
      <c r="C9" s="193" t="inlineStr">
        <is>
          <t>1. While using CommCare, slide the navigation bar down (swipe down on top of screen).
2. Verify there is a note stating "Logged into Commcare Session Expires: …"
3. Verify this time expiration time is 24 hours from the time logged in
4. Swipe up on the navigation bar to minimize it.</t>
        </is>
      </c>
      <c r="D9" s="137" t="n"/>
      <c r="E9" s="193" t="inlineStr">
        <is>
          <t>flows/login/commcare_odk_02_check_session.yaml - verifies the 'Logged Into CommCare / Session Expires:' banner is present after swiping open the notification shade, but does NOT verify the exact 24-hour expiration duration - Maestro has no way to read/compute a live countdown timestamp inside notification text.</t>
        </is>
      </c>
      <c r="F9" s="193" t="n"/>
      <c r="G9" s="145" t="n"/>
      <c r="I9" s="140" t="inlineStr">
        <is>
          <t>Partial</t>
        </is>
      </c>
      <c r="J9" s="0" t="inlineStr">
        <is>
          <t>Yes</t>
        </is>
      </c>
      <c r="K9" s="0" t="inlineStr">
        <is>
          <t>flows/login/commcare_odk_02_check_session.yaml</t>
        </is>
      </c>
    </row>
    <row r="10" ht="38.25" customHeight="1" s="629">
      <c r="A10" s="193" t="inlineStr">
        <is>
          <t>CommCare ODK 3</t>
        </is>
      </c>
      <c r="B10" s="193" t="inlineStr">
        <is>
          <t>Logout</t>
        </is>
      </c>
      <c r="C10" s="148" t="inlineStr">
        <is>
          <t>1. Select 'Logout of CommCare'
2. Verify you are brought to the login page.</t>
        </is>
      </c>
      <c r="D10" s="137" t="n"/>
      <c r="E10" s="149" t="inlineStr">
        <is>
          <t>flows/login/commcare_odk_03_logout.yaml - tagged automatable in-repo (not Partial); fully verifies logout returns to the login page.</t>
        </is>
      </c>
      <c r="F10" s="149" t="n"/>
      <c r="G10" s="151" t="n"/>
      <c r="H10" s="152" t="n"/>
      <c r="I10" s="140" t="inlineStr">
        <is>
          <t>Automatable</t>
        </is>
      </c>
      <c r="J10" s="0" t="inlineStr">
        <is>
          <t>Yes</t>
        </is>
      </c>
      <c r="K10" s="0" t="inlineStr">
        <is>
          <t>flows/login/commcare_odk_03_logout.yaml</t>
        </is>
      </c>
    </row>
  </sheetData>
  <mergeCells count="5">
    <mergeCell ref="B2:C2"/>
    <mergeCell ref="B3:C3"/>
    <mergeCell ref="B5:C5"/>
    <mergeCell ref="B1:C1"/>
    <mergeCell ref="B4:C4"/>
  </mergeCells>
  <conditionalFormatting sqref="D8:D10">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0" showDropDown="0" showInputMessage="0" showErrorMessage="1" allowBlank="1" type="list">
      <formula1>"Pass,Fail,N/A,Blocking"</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J21"/>
  <sheetViews>
    <sheetView workbookViewId="0">
      <selection activeCell="A1" sqref="A1"/>
    </sheetView>
  </sheetViews>
  <sheetFormatPr baseColWidth="8" defaultColWidth="17.29" defaultRowHeight="15" customHeight="1"/>
  <cols>
    <col width="19.14" customWidth="1" style="629" min="1" max="1"/>
    <col width="28" customWidth="1" style="629" min="2" max="2"/>
    <col width="99" customWidth="1" style="629" min="3" max="3"/>
    <col width="12.29" customWidth="1" style="629" min="4" max="4"/>
    <col width="41.57" customWidth="1" style="629" min="5" max="5"/>
    <col width="15.86" customWidth="1" style="629" min="6" max="6"/>
    <col width="21.29" customWidth="1" style="629" min="7" max="7"/>
    <col width="22" customWidth="1" style="629" min="8" max="9"/>
    <col width="22" customWidth="1" style="629" min="9" max="9"/>
    <col width="22" customWidth="1" style="629" min="10" max="10"/>
  </cols>
  <sheetData>
    <row r="1">
      <c r="A1" s="115" t="inlineStr">
        <is>
          <t>Test Area</t>
        </is>
      </c>
      <c r="B1" s="193" t="inlineStr">
        <is>
          <t>Updating to an alternate endpoint</t>
        </is>
      </c>
      <c r="C1" s="638" t="n"/>
      <c r="D1" s="124" t="n"/>
      <c r="E1" s="123" t="n"/>
      <c r="F1" s="123" t="n"/>
      <c r="G1" s="124" t="n"/>
      <c r="H1" s="124" t="n"/>
      <c r="I1" s="124" t="n"/>
    </row>
    <row r="2" ht="25.5" customHeight="1" s="629">
      <c r="A2" s="115" t="inlineStr">
        <is>
          <t>Summary:</t>
        </is>
      </c>
      <c r="B2" s="193" t="inlineStr">
        <is>
          <t>Test app updates to an alternate endpoint</t>
        </is>
      </c>
      <c r="C2" s="638" t="n"/>
      <c r="D2" s="124" t="n"/>
      <c r="E2" s="124" t="n"/>
      <c r="F2" s="124" t="n"/>
      <c r="G2" s="124" t="n"/>
      <c r="H2" s="124" t="n"/>
      <c r="I2" s="124" t="n"/>
    </row>
    <row r="3" ht="22.5" customHeight="1" s="629">
      <c r="A3" s="115" t="inlineStr">
        <is>
          <t>Domain:</t>
        </is>
      </c>
      <c r="B3" s="661" t="inlineStr">
        <is>
          <t>https://www.commcarehq.org/a/qateam/apps/view/7e8e7e8857f7466495888a37952e7ad0/</t>
        </is>
      </c>
      <c r="C3" s="638" t="n"/>
      <c r="D3" s="124" t="n"/>
      <c r="E3" s="124" t="n"/>
      <c r="F3" s="124" t="n"/>
      <c r="G3" s="124" t="n"/>
      <c r="H3" s="124" t="n"/>
      <c r="I3" s="124" t="n"/>
    </row>
    <row r="4">
      <c r="A4" s="115" t="inlineStr">
        <is>
          <t xml:space="preserve">Application: </t>
        </is>
      </c>
      <c r="B4" s="193" t="inlineStr">
        <is>
          <t>Update Test Alternate</t>
        </is>
      </c>
      <c r="C4" s="638" t="n"/>
      <c r="D4" s="124" t="n"/>
      <c r="E4" s="124" t="n"/>
      <c r="F4" s="124" t="n"/>
      <c r="G4" s="124" t="n"/>
      <c r="H4" s="124" t="n"/>
      <c r="I4" s="124" t="n"/>
    </row>
    <row r="5">
      <c r="A5" s="115" t="inlineStr">
        <is>
          <t>Prerequisites:</t>
        </is>
      </c>
      <c r="B5" s="193" t="n"/>
      <c r="C5" s="638" t="n"/>
      <c r="D5" s="124" t="n"/>
      <c r="E5" s="124" t="n"/>
      <c r="F5" s="124" t="n"/>
      <c r="G5" s="124" t="n"/>
      <c r="H5" s="124" t="n"/>
      <c r="I5" s="124" t="n"/>
    </row>
    <row r="6">
      <c r="A6" s="129" t="n"/>
      <c r="B6" s="139" t="n"/>
      <c r="C6" s="139" t="n"/>
      <c r="D6" s="139" t="n"/>
      <c r="E6" s="139" t="n"/>
      <c r="F6" s="139" t="n"/>
      <c r="G6" s="124" t="n"/>
      <c r="H6" s="124" t="n"/>
      <c r="I6" s="124" t="n"/>
    </row>
    <row r="7">
      <c r="A7" s="115" t="inlineStr">
        <is>
          <t>Test Case ID</t>
        </is>
      </c>
      <c r="B7" s="115" t="inlineStr">
        <is>
          <t>Summary</t>
        </is>
      </c>
      <c r="C7" s="115" t="inlineStr">
        <is>
          <t>Steps</t>
        </is>
      </c>
      <c r="D7" s="115" t="inlineStr">
        <is>
          <t>Pass/Fail</t>
        </is>
      </c>
      <c r="E7" s="115" t="inlineStr">
        <is>
          <t>Notes</t>
        </is>
      </c>
      <c r="F7" s="115" t="inlineStr">
        <is>
          <t>Ticket ID</t>
        </is>
      </c>
      <c r="G7" s="133" t="n"/>
      <c r="H7" s="662" t="inlineStr">
        <is>
          <t>Maestro Automatability</t>
        </is>
      </c>
      <c r="I7" s="662" t="inlineStr">
        <is>
          <t>Automated?</t>
        </is>
      </c>
      <c r="J7" s="663" t="inlineStr">
        <is>
          <t>Flow File</t>
        </is>
      </c>
    </row>
    <row r="8" ht="53.25" customHeight="1" s="629">
      <c r="A8" s="193" t="inlineStr">
        <is>
          <t>Set up</t>
        </is>
      </c>
      <c r="B8" s="142" t="inlineStr">
        <is>
          <t>Ensure that the app 'workspace' is clean before this test is run.</t>
        </is>
      </c>
      <c r="C8" s="193" t="inlineStr">
        <is>
          <t>1. Go to https://www.commcarehq.org/a/qateam/apps/view/7e8e7e8857f7466495888a37952e7ad0/
2. Click on "Make new Version." 
3. If it says "No new changes to deploy!", you're all set. If a build results from this action, toggle the version to "Released."</t>
        </is>
      </c>
      <c r="D8" s="137" t="n"/>
      <c r="E8" s="522" t="inlineStr">
        <is>
          <t>Partial: hq_setup/update/setup_make_new_version.json automates the unconditional 'create new version' HQ call, but the sheet's own logic is conditional (no-op if workspace was already clean vs. a real new build needing Release afterward) - today's hq_client.py has no if/then branching to detect which case happened and conditionally chain the Release step, so a human still confirms which branch applied. See that file's own _comment for the full citation.</t>
        </is>
      </c>
      <c r="F8" s="522" t="n"/>
      <c r="G8" s="150" t="n"/>
      <c r="H8" s="124" t="inlineStr">
        <is>
          <t>Partial</t>
        </is>
      </c>
      <c r="I8" s="707" t="inlineStr">
        <is>
          <t>Yes</t>
        </is>
      </c>
      <c r="J8" s="0" t="inlineStr">
        <is>
          <t>hq_setup/update/setup_make_new_version.json</t>
        </is>
      </c>
    </row>
    <row r="9" ht="28.5" customHeight="1" s="629">
      <c r="A9" s="193" t="inlineStr">
        <is>
          <t>Install</t>
        </is>
      </c>
      <c r="B9" s="193" t="n"/>
      <c r="C9" s="193" t="inlineStr">
        <is>
          <t>Make sure the latest build of the app (which may be the one you just created) is starred, and then install it.</t>
        </is>
      </c>
      <c r="D9" s="137" t="n"/>
      <c r="E9" s="522" t="inlineStr">
        <is>
          <t>Partial: hq_setup/update/install_mark_released.json automates marking the latest build Released (the 'star' action) via HQ; the on-device 'install latest build' half needs no new flow since it's already exercised by flows/install/install_07/08 and flows/update/update_target_developer_options_flow.yaml's own Update App step.</t>
        </is>
      </c>
      <c r="F9" s="522" t="n"/>
      <c r="G9" s="150" t="n"/>
      <c r="H9" s="124" t="inlineStr">
        <is>
          <t>Partial</t>
        </is>
      </c>
      <c r="I9" s="707" t="inlineStr">
        <is>
          <t>Yes</t>
        </is>
      </c>
      <c r="J9" s="0" t="inlineStr">
        <is>
          <t>hq_setup/update/install_mark_released.json</t>
        </is>
      </c>
    </row>
    <row r="10" ht="52.5" customHeight="1" s="629">
      <c r="A10" s="142" t="inlineStr">
        <is>
          <t>Make a change</t>
        </is>
      </c>
      <c r="B10" s="308" t="n"/>
      <c r="C10" s="142" t="inlineStr">
        <is>
          <t>1. Make any change to the app that will be easy for you to check for (change the name of a module or form, add a module or form, etc.). 
2. Make sure that the change is saved, but do NOT create a new build.</t>
        </is>
      </c>
      <c r="D10" s="137" t="n"/>
      <c r="E10" s="522" t="inlineStr">
        <is>
          <t>Confirmed live 2026-09-01, by reading commcare-hq source directly, that neither this row nor "Check for new build" (row 13) needs a real device: "make a change" is HQClient.edit_module_attr() saving the app's draft content (module comment field - internal-only, never rendered on-device) without building. Automated end-to-end via scripts/run_update_content_change_check.py, which also drives row 13.</t>
        </is>
      </c>
      <c r="F10" s="522" t="n"/>
      <c r="G10" s="150" t="n"/>
      <c r="H10" s="124" t="inlineStr">
        <is>
          <t>Automatable</t>
        </is>
      </c>
      <c r="I10" s="665" t="inlineStr">
        <is>
          <t>Yes</t>
        </is>
      </c>
      <c r="J10" s="0" t="inlineStr">
        <is>
          <t>scripts/run_update_content_change_check.py</t>
        </is>
      </c>
    </row>
    <row r="11" ht="37.5" customHeight="1" s="629">
      <c r="A11" s="193" t="inlineStr">
        <is>
          <t>Change update target</t>
        </is>
      </c>
      <c r="B11" s="193" t="n"/>
      <c r="C11" s="142" t="inlineStr">
        <is>
          <t>1. On the device, log into the app with username 'test1' and password '123'.
2.  From home screen go to menu icon(3 dots) on the top right corner and Select 'About CommCare' 4 times until developer options are enabled
3. Click on Menu icon(3 dots) on the top right corner and select 'Settings'
4. Select 'Developer Options' --&gt; 'Show Update Options Item' and select 'Enabled' radio button
5. Return to home page and select 'Settings' from Menu icon(3 dots) --&gt; 'Update options' and select 'Latest Saved state' radio button</t>
        </is>
      </c>
      <c r="D11" s="137" t="n"/>
      <c r="E11" s="193" t="n"/>
      <c r="F11" s="193" t="n"/>
      <c r="G11" s="150" t="n"/>
      <c r="H11" s="124" t="inlineStr">
        <is>
          <t>Automatable</t>
        </is>
      </c>
      <c r="I11" s="707" t="inlineStr">
        <is>
          <t>Yes</t>
        </is>
      </c>
      <c r="J11" s="0" t="inlineStr">
        <is>
          <t>flows/update/update_target_developer_options_flow.yaml</t>
        </is>
      </c>
    </row>
    <row r="12" ht="51.75" customHeight="1" s="629">
      <c r="A12" s="193" t="inlineStr">
        <is>
          <t>Update + Check for changes</t>
        </is>
      </c>
      <c r="B12" s="193" t="n"/>
      <c r="C12" s="193" t="inlineStr">
        <is>
          <t>1. Click on Menu icon(3 dots) on the top right corner and select 'Update App', Application should check the latest updates
2. After the update has completed, check that the change you made on HQ in the prior step is reflected on the device.</t>
        </is>
      </c>
      <c r="D12" s="137" t="n"/>
      <c r="E12" s="522" t="n"/>
      <c r="F12" s="522" t="n"/>
      <c r="G12" s="150" t="n"/>
      <c r="H12" s="124" t="inlineStr">
        <is>
          <t>Automatable</t>
        </is>
      </c>
      <c r="I12" s="707" t="inlineStr">
        <is>
          <t>Yes</t>
        </is>
      </c>
      <c r="J12" s="0" t="inlineStr">
        <is>
          <t>flows/update/update_target_developer_options_flow.yaml</t>
        </is>
      </c>
    </row>
    <row r="13" ht="44.25" customHeight="1" s="629">
      <c r="A13" s="308" t="inlineStr">
        <is>
          <t>Check for new build</t>
        </is>
      </c>
      <c r="B13" s="142" t="inlineStr">
        <is>
          <t>The previous update step should have automatically created a new build of the app on HQ.</t>
        </is>
      </c>
      <c r="C13" s="308" t="inlineStr">
        <is>
          <t>1. Go back to the 'Deploy' page for the app and check that there is now a new build there with comment "Auto-generated by a phone update" (you can tell for sure if this is a new build by check the timestamp).
2. Do NOT star this build.</t>
        </is>
      </c>
      <c r="D13" s="137" t="n"/>
      <c r="E13" s="479" t="inlineStr">
        <is>
          <t>Confirmed live 2026-09-01: this is CommCareHQ's own autogenerate_build() (corehq/apps/app_manager/tasks.py), which fires for ANY client - not specifically a phone - that fetches the app's live ODK profile (profile.ccpr) while its draft version is ahead of the latest saved build's. HQClient.check_for_phone_triggered_build() hits that same endpoint; a live test produced a real new build with comment starting "Auto-generated by a phone update", unreleased, matching this row's exact expected text and its "Do NOT star this build" note. Automated via scripts/run_update_content_change_check.py (same script as row 10 - both steps are one continuous HQ-API-only check, no device/Maestro flow).</t>
        </is>
      </c>
      <c r="F13" s="479" t="n"/>
      <c r="H13" s="124" t="inlineStr">
        <is>
          <t>Automatable</t>
        </is>
      </c>
      <c r="I13" s="665" t="inlineStr">
        <is>
          <t>Yes</t>
        </is>
      </c>
      <c r="J13" s="0" t="inlineStr">
        <is>
          <t>scripts/run_update_content_change_check.py</t>
        </is>
      </c>
    </row>
    <row r="14" ht="33" customHeight="1" s="629">
      <c r="A14" s="142" t="inlineStr">
        <is>
          <t>Change update target back</t>
        </is>
      </c>
      <c r="B14" s="193" t="n"/>
      <c r="C14" s="193" t="inlineStr">
        <is>
          <t>Repeat step 11, but select 'Latest version'.</t>
        </is>
      </c>
      <c r="D14" s="137" t="n"/>
      <c r="E14" s="522" t="n"/>
      <c r="F14" s="522" t="n"/>
      <c r="G14" s="150" t="n"/>
      <c r="H14" s="124" t="inlineStr">
        <is>
          <t>Automatable</t>
        </is>
      </c>
      <c r="I14" s="707" t="inlineStr">
        <is>
          <t>Yes</t>
        </is>
      </c>
      <c r="J14" s="0" t="inlineStr">
        <is>
          <t>flows/update/update_target_developer_options_flow.yaml</t>
        </is>
      </c>
    </row>
    <row r="15">
      <c r="A15" s="193" t="inlineStr">
        <is>
          <t>Confirm that no update occurs if you try</t>
        </is>
      </c>
      <c r="B15" s="193" t="n"/>
      <c r="C15" s="193" t="inlineStr">
        <is>
          <t>Go back to the update activity and confirm that you get the message "App is up to date".</t>
        </is>
      </c>
      <c r="D15" s="137" t="n"/>
      <c r="E15" s="522" t="n"/>
      <c r="F15" s="522" t="n"/>
      <c r="G15" s="150" t="n"/>
      <c r="H15" s="124" t="inlineStr">
        <is>
          <t>Automatable</t>
        </is>
      </c>
      <c r="I15" s="707" t="inlineStr">
        <is>
          <t>Yes</t>
        </is>
      </c>
      <c r="J15" s="0" t="inlineStr">
        <is>
          <t>flows/update/update_target_developer_options_flow.yaml</t>
        </is>
      </c>
    </row>
    <row r="16">
      <c r="A16" s="308" t="inlineStr">
        <is>
          <t>Uninstall/Reinstall</t>
        </is>
      </c>
      <c r="B16" s="308" t="inlineStr">
        <is>
          <t>Reset installation</t>
        </is>
      </c>
      <c r="C16" s="308" t="inlineStr">
        <is>
          <t>1. Uninstall the apk and install a fresh apk from playstore
2. Download a version of Update Test Alternate before the most released version (version 24 and above)  This is necessary to test the update.</t>
        </is>
      </c>
      <c r="D16" s="137" t="n"/>
      <c r="E16" s="154" t="inlineStr">
        <is>
          <t>Not automated: step 1 requires installing a fresh CommCare APK from the Google Play Store specifically (not this repo's GitHub-releases-based scripts/download_apk.py mechanism) - a genuinely different install path (Play Store account/region/version-availability concerns) this pipeline has no automation for.</t>
        </is>
      </c>
      <c r="F16" s="154" t="n"/>
      <c r="G16" s="150" t="n"/>
      <c r="H16" s="124" t="inlineStr">
        <is>
          <t>Not automatable</t>
        </is>
      </c>
      <c r="I16" s="664" t="inlineStr">
        <is>
          <t>N/A</t>
        </is>
      </c>
    </row>
    <row r="17">
      <c r="A17" s="308" t="inlineStr">
        <is>
          <t>Interrupt update</t>
        </is>
      </c>
      <c r="B17" s="308" t="inlineStr">
        <is>
          <t>Update ceases</t>
        </is>
      </c>
      <c r="C17" s="308" t="inlineStr">
        <is>
          <t>(Read this entirely, you may have to act quickly when testing)
1. Log in with username/password: test/123
2. Login and monitor the notifications, the app update should start
3. Midway through the update, put the device in airplane mode to entirely disconnect the internet
4. Ensure the auto-app update is cancelled and the update notification disappears</t>
        </is>
      </c>
      <c r="D17" s="596" t="n"/>
      <c r="E17" s="308" t="inlineStr">
        <is>
          <t>The following conditions should be met,
1.It needs to be the first login after the app was installed 
2.Battery must be above 25% 
3.Should have internet</t>
        </is>
      </c>
      <c r="F17" s="308" t="n"/>
      <c r="G17" s="150" t="n"/>
      <c r="H17" s="124" t="inlineStr">
        <is>
          <t>Not automatable</t>
        </is>
      </c>
      <c r="I17" s="665" t="inlineStr">
        <is>
          <t>N/A</t>
        </is>
      </c>
    </row>
    <row r="18">
      <c r="A18" s="308" t="inlineStr">
        <is>
          <t>Reestablish connection</t>
        </is>
      </c>
      <c r="B18" s="308" t="inlineStr">
        <is>
          <t>Update resumes in the background</t>
        </is>
      </c>
      <c r="C18" s="308" t="inlineStr">
        <is>
          <t>1. Take the device off airplane mode and ensure internet connectivity is re-established
2. Leave the device for 10 minutes. Drink tea or go for a brief walk</t>
        </is>
      </c>
      <c r="D18" s="596" t="n"/>
      <c r="E18" s="160" t="inlineStr">
        <is>
          <t>Not automatable: requires disabling airplane mode then waiting a real 10 minutes for a background update to resume - airplane-mode/network toggling was confirmed unreliable on BrowserStack's real-device cloud this session (same limitation documented on the Auto Form Submission tab), and a genuine 10-minute real-time wait is impractical within CI's own build timeouts regardless.</t>
        </is>
      </c>
      <c r="F18" s="160" t="n"/>
      <c r="G18" s="139" t="n"/>
      <c r="H18" s="124" t="inlineStr">
        <is>
          <t>Not automatable</t>
        </is>
      </c>
      <c r="I18" s="665" t="inlineStr">
        <is>
          <t>N/A</t>
        </is>
      </c>
    </row>
    <row r="19">
      <c r="A19" s="308" t="inlineStr">
        <is>
          <t>Verify update</t>
        </is>
      </c>
      <c r="B19" s="308" t="inlineStr">
        <is>
          <t>Update completes</t>
        </is>
      </c>
      <c r="C19" s="308" t="inlineStr">
        <is>
          <t>1. Return to the device and log out of CommCare
2. Log back in with the same user
3. Login will trigger an app update install
4. Check the app version - ensure it is now on the most recent released version of the app</t>
        </is>
      </c>
      <c r="D19" s="596" t="n"/>
      <c r="E19" s="160" t="n"/>
      <c r="F19" s="160" t="n"/>
      <c r="G19" s="139" t="n"/>
      <c r="H19" s="124" t="inlineStr">
        <is>
          <t>Automatable</t>
        </is>
      </c>
      <c r="I19" s="707" t="inlineStr">
        <is>
          <t>Yes</t>
        </is>
      </c>
      <c r="J19" s="0" t="inlineStr">
        <is>
          <t>flows/update/update_target_developer_options_flow.yaml</t>
        </is>
      </c>
    </row>
    <row r="20">
      <c r="A20" s="163" t="inlineStr">
        <is>
          <t>Recheck button 1</t>
        </is>
      </c>
      <c r="B20" s="163" t="inlineStr">
        <is>
          <t>Disable network</t>
        </is>
      </c>
      <c r="C20" s="163" t="inlineStr">
        <is>
          <t>1. On the Update Test Alternative app, make a trivial change to the app (for example, add a desription under the app name)
2. Make a new version and mark it as released
2. On your mobile device enter CommCare but then put the device in airplane mode
3. Attempt to update the app, it should not succeed, but will allow a Recheck button to appear
4. Note the Recheck button, validate that it remains enabled (it can be pressed even when airplane mode is on)</t>
        </is>
      </c>
      <c r="D20" s="596" t="n"/>
      <c r="E20" s="163" t="inlineStr">
        <is>
          <t>Not automatable: requires putting the device in airplane mode mid-update and verifying a specific Recheck button's enabled state while offline - same airplane-mode/network-toggle reliability limitation confirmed elsewhere this session on BrowserStack's real-device cloud (see Auto Form Submission tab).</t>
        </is>
      </c>
      <c r="F20" s="163" t="n"/>
      <c r="G20" s="139" t="n"/>
      <c r="H20" s="124" t="inlineStr">
        <is>
          <t>Not automatable</t>
        </is>
      </c>
      <c r="I20" s="665" t="inlineStr">
        <is>
          <t>N/A</t>
        </is>
      </c>
    </row>
    <row r="21">
      <c r="A21" s="163" t="inlineStr">
        <is>
          <t>Recheck button 2</t>
        </is>
      </c>
      <c r="B21" s="163" t="inlineStr">
        <is>
          <t>Reestablish Connection</t>
        </is>
      </c>
      <c r="C21" s="163" t="inlineStr">
        <is>
          <t>1. Reestablish connection with your device and take it off airplane mode
2. Press the Recheck button
3. Ensure you're able to update to the next version</t>
        </is>
      </c>
      <c r="D21" s="596" t="n"/>
      <c r="E21" s="163" t="inlineStr">
        <is>
          <t>Not automated (deferred, not researched this round): depends on a preceding "Recheck button 1" scenario (airplane-mode-during-update-check, same class of mechanism used in flows/recovery_measures/retry_recovery_02_network_toggle_retry.yaml) against the Update tab's own app ("Update Test Alternate"), which has not yet been identified/verified via live HQ or CCZ inspection - needs that research before a reliable flow can be written.</t>
        </is>
      </c>
      <c r="F21" s="163" t="n"/>
      <c r="G21" s="139" t="n"/>
      <c r="H21" s="124" t="inlineStr">
        <is>
          <t>Not automatable</t>
        </is>
      </c>
      <c r="I21" s="664" t="inlineStr">
        <is>
          <t>N/A</t>
        </is>
      </c>
    </row>
  </sheetData>
  <mergeCells count="5">
    <mergeCell ref="B2:C2"/>
    <mergeCell ref="B3:C3"/>
    <mergeCell ref="B5:C5"/>
    <mergeCell ref="B1:C1"/>
    <mergeCell ref="B4:C4"/>
  </mergeCells>
  <conditionalFormatting sqref="D8:D21">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21"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E16" r:id="rId2"/>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L35"/>
  <sheetViews>
    <sheetView workbookViewId="0">
      <selection activeCell="A1" sqref="A1"/>
    </sheetView>
  </sheetViews>
  <sheetFormatPr baseColWidth="8" defaultColWidth="17.29" defaultRowHeight="15" customHeight="1"/>
  <cols>
    <col width="22" customWidth="1" style="629" min="1" max="1"/>
    <col width="32.14" customWidth="1" style="629" min="2" max="2"/>
    <col width="61.86" customWidth="1" style="629" min="3" max="3"/>
    <col width="30.86" customWidth="1" style="629" min="4" max="4"/>
    <col width="17.43" customWidth="1" style="629" min="5" max="5"/>
    <col width="24" customWidth="1" style="629" min="6" max="7"/>
    <col width="32.14" customWidth="1" style="629" min="8" max="8"/>
    <col width="18" customWidth="1" style="629" min="9" max="9"/>
    <col width="13" customWidth="1" style="629" min="10" max="10"/>
    <col width="60" customWidth="1" style="629" min="11" max="11"/>
  </cols>
  <sheetData>
    <row r="1">
      <c r="A1" s="85" t="inlineStr">
        <is>
          <t>Test Area</t>
        </is>
      </c>
      <c r="B1" s="155" t="inlineStr">
        <is>
          <t>App Database Update</t>
        </is>
      </c>
      <c r="C1" s="157" t="inlineStr">
        <is>
          <t xml:space="preserve">NOTE: The intended workflow for this tab is to complete all of the Setup steps, 1 of the Database Cases, then all of the Final cases. Repeat this until all Database Cases have been tested (i.e. Complete setup 1 through 4, Database 1, then Final 1 through 4. Complete setup 1 through 4, Database 2, then Final 1 through 4, and so on). </t>
        </is>
      </c>
      <c r="D1" s="158" t="n"/>
      <c r="E1" s="159" t="n"/>
      <c r="F1" s="159" t="n"/>
      <c r="G1" s="159" t="n"/>
      <c r="H1" s="158" t="inlineStr">
        <is>
          <t>For Future Release:
We need to ensure we can database change between multiple versions (i.e. 2.27 -&gt; 2.37) for future LTS releases. There was a bug that caused updating through multiple versions to fail.</t>
        </is>
      </c>
      <c r="I1" s="166" t="n"/>
      <c r="J1" s="166" t="n"/>
      <c r="K1" s="166" t="n"/>
      <c r="L1" s="166" t="n"/>
    </row>
    <row r="2">
      <c r="A2" s="85" t="inlineStr">
        <is>
          <t>Summary:</t>
        </is>
      </c>
      <c r="B2" s="155" t="inlineStr">
        <is>
          <t>Make sure database allows upgrade from old versions to new versions</t>
        </is>
      </c>
      <c r="C2" s="638" t="n"/>
      <c r="D2" s="166" t="n"/>
      <c r="E2" s="166" t="n"/>
      <c r="F2" s="166" t="n"/>
      <c r="G2" s="166" t="n"/>
      <c r="H2" s="166" t="n"/>
      <c r="I2" s="166" t="n"/>
      <c r="J2" s="166" t="n"/>
      <c r="K2" s="166" t="n"/>
      <c r="L2" s="166" t="n"/>
    </row>
    <row r="3">
      <c r="A3" s="85" t="inlineStr">
        <is>
          <t>Domain:</t>
        </is>
      </c>
      <c r="B3" s="655">
        <f>HYPERLINK("https://www.commcarehq.org/a/qateam/apps/view/cdfa6c85eb594b23b0c08729cd2beff1/","https://www.commcarehq.org/a/qateam/apps/view/cdfa6c85eb594b23b0c08729cd2beff1/")</f>
        <v/>
      </c>
      <c r="C3" s="638" t="n"/>
      <c r="D3" s="166" t="n"/>
      <c r="E3" s="166" t="n"/>
      <c r="F3" s="166" t="n"/>
      <c r="G3" s="166" t="n"/>
      <c r="H3" s="166" t="n"/>
      <c r="I3" s="166" t="n"/>
      <c r="J3" s="166" t="n"/>
      <c r="K3" s="166" t="n"/>
      <c r="L3" s="166" t="n"/>
    </row>
    <row r="4">
      <c r="A4" s="85" t="inlineStr">
        <is>
          <t xml:space="preserve">Application: </t>
        </is>
      </c>
      <c r="B4" s="155" t="inlineStr">
        <is>
          <t>Basic Test</t>
        </is>
      </c>
      <c r="C4" s="638" t="n"/>
      <c r="D4" s="166" t="n"/>
      <c r="E4" s="166" t="n"/>
      <c r="F4" s="166" t="n"/>
      <c r="G4" s="166" t="n"/>
      <c r="H4" s="166" t="n"/>
      <c r="I4" s="166" t="n"/>
      <c r="J4" s="166" t="n"/>
      <c r="K4" s="166" t="n"/>
      <c r="L4" s="166" t="n"/>
    </row>
    <row r="5">
      <c r="A5" s="85" t="inlineStr">
        <is>
          <t>Prerequisites:</t>
        </is>
      </c>
      <c r="B5" s="155" t="inlineStr">
        <is>
          <t>ES File Manager and a barcode scanner must be downloaded to the device.</t>
        </is>
      </c>
      <c r="C5" s="638" t="n"/>
      <c r="D5" s="166" t="n"/>
      <c r="E5" s="166" t="n"/>
      <c r="F5" s="166" t="n"/>
      <c r="G5" s="166" t="n"/>
      <c r="H5" s="166" t="n"/>
      <c r="I5" s="166" t="n"/>
      <c r="J5" s="166" t="n"/>
      <c r="K5" s="166" t="n"/>
      <c r="L5" s="166" t="n"/>
    </row>
    <row r="6">
      <c r="A6" s="166" t="n"/>
      <c r="B6" s="166" t="n"/>
      <c r="C6" s="382" t="n"/>
      <c r="D6" s="166" t="n"/>
      <c r="E6" s="166" t="n"/>
      <c r="F6" s="166" t="n"/>
      <c r="G6" s="166" t="n"/>
      <c r="H6" s="166" t="n"/>
      <c r="I6" s="166" t="n"/>
      <c r="J6" s="166" t="n"/>
      <c r="K6" s="166" t="n"/>
      <c r="L6" s="166" t="n"/>
    </row>
    <row r="7">
      <c r="A7" s="85" t="inlineStr">
        <is>
          <t>Test Case ID</t>
        </is>
      </c>
      <c r="B7" s="85" t="inlineStr">
        <is>
          <t>Summary</t>
        </is>
      </c>
      <c r="C7" s="85" t="inlineStr">
        <is>
          <t>Steps</t>
        </is>
      </c>
      <c r="D7" s="85" t="inlineStr">
        <is>
          <t>Expected Result</t>
        </is>
      </c>
      <c r="E7" s="85" t="inlineStr">
        <is>
          <t>Pass/Fail</t>
        </is>
      </c>
      <c r="F7" s="85" t="inlineStr">
        <is>
          <t>Ticket ID</t>
        </is>
      </c>
      <c r="G7" s="85" t="inlineStr">
        <is>
          <t>Notes</t>
        </is>
      </c>
      <c r="H7" s="159" t="n"/>
      <c r="I7" s="140" t="inlineStr">
        <is>
          <t>Maestro Automatability</t>
        </is>
      </c>
      <c r="J7" s="0" t="inlineStr">
        <is>
          <t>Automated?</t>
        </is>
      </c>
      <c r="K7" s="0" t="inlineStr">
        <is>
          <t>Flow File</t>
        </is>
      </c>
      <c r="L7" s="45" t="n"/>
    </row>
    <row r="8">
      <c r="A8" s="521" t="inlineStr">
        <is>
          <t>Setup 1</t>
        </is>
      </c>
      <c r="B8" s="521" t="inlineStr">
        <is>
          <t>Install CommCare from Play Store</t>
        </is>
      </c>
      <c r="C8" s="155" t="inlineStr">
        <is>
          <t>1. Uninstall any existing CommCare app from your device.
2. Proceed to Google Play store and search for CommCare (https://play.google.com/store/apps/details?id=org.commcare.dalvik&amp;hl=en)
3. Install the most recent version of CommCare from the play store.</t>
        </is>
      </c>
      <c r="D8" s="387" t="inlineStr">
        <is>
          <t>Can install the current version of CommCare from the play store.</t>
        </is>
      </c>
      <c r="E8" s="564" t="n"/>
      <c r="F8" s="521" t="n"/>
      <c r="G8" s="521" t="n"/>
      <c r="H8" s="166" t="n"/>
      <c r="I8" s="140" t="inlineStr">
        <is>
          <t>Partial</t>
        </is>
      </c>
      <c r="J8" s="0" t="inlineStr">
        <is>
          <t>Yes</t>
        </is>
      </c>
      <c r="K8" s="0" t="inlineStr">
        <is>
          <t>scripts/run_appium_non_core_upgrade_suite.py --scenario database_change_upgrade (CommCare 2.45 -&gt; release, mid-session upgrade)</t>
        </is>
      </c>
      <c r="L8" s="166" t="n"/>
    </row>
    <row r="9">
      <c r="A9" s="521" t="inlineStr">
        <is>
          <t>Setup 2</t>
        </is>
      </c>
      <c r="B9" s="521" t="inlineStr">
        <is>
          <t>Install Application</t>
        </is>
      </c>
      <c r="C9" s="387" t="inlineStr">
        <is>
          <t>1. Proceed to https://www.commcarehq.org/a/qateam/apps/view/cdfa6c85eb594b23b0c08729cd2beff1/ (QAteam Domain &gt; Basic Tests Application)
2. Select the Publish button of the next below to the most recent build (For example: if the most recent build is 2.41 and then user should install 2.40 matching to the Play store version).
3. Select the check box "Include Multimedia"
4. Select 'Scan Application Barcode.' A window with a barcode should appear.
5. On the device, open CommCare.
6. Go to the app manager(Touch and hold on the screen until widgets option gets displayed, Now select the CommCare  App Manager) and select Scan Application Barcode
7. Scan the barcode displayed on CommCareHQ.
8. Select Start Install
9. Wait for application to install and verify you are brought to the login page on the device.</t>
        </is>
      </c>
      <c r="D9" s="387" t="inlineStr">
        <is>
          <t>Can install the Basic Tests application from the ccqa domain</t>
        </is>
      </c>
      <c r="E9" s="564" t="n"/>
      <c r="F9" s="521" t="n"/>
      <c r="G9" s="521" t="n"/>
      <c r="H9" s="166" t="n"/>
      <c r="I9" s="140" t="inlineStr">
        <is>
          <t>Automatable</t>
        </is>
      </c>
      <c r="J9" s="0" t="inlineStr">
        <is>
          <t>Yes</t>
        </is>
      </c>
      <c r="K9" s="0" t="inlineStr">
        <is>
          <t>flows_non_core/database_change/database_change_10_12_change_logs.yaml</t>
        </is>
      </c>
      <c r="L9" s="166" t="n"/>
    </row>
    <row r="10">
      <c r="A10" s="521" t="inlineStr">
        <is>
          <t>Setup 3</t>
        </is>
      </c>
      <c r="B10" s="521" t="inlineStr">
        <is>
          <t>Login</t>
        </is>
      </c>
      <c r="C10" s="387" t="inlineStr">
        <is>
          <t>1. Login to the application (test1 /123 or test2 /1234)
2. Confirm you are brought to the CommCare home screen.</t>
        </is>
      </c>
      <c r="D10" s="521" t="inlineStr">
        <is>
          <t>Can login to the application</t>
        </is>
      </c>
      <c r="E10" s="564" t="n"/>
      <c r="F10" s="521" t="n"/>
      <c r="G10" s="521" t="n"/>
      <c r="H10" s="166" t="n"/>
      <c r="I10" s="140" t="inlineStr">
        <is>
          <t>Automatable</t>
        </is>
      </c>
      <c r="J10" s="0" t="inlineStr">
        <is>
          <t>Yes</t>
        </is>
      </c>
      <c r="K10" s="0" t="inlineStr">
        <is>
          <t>flows_non_core/database_change/database_change_10_12_change_logs.yaml</t>
        </is>
      </c>
      <c r="L10" s="166" t="n"/>
    </row>
    <row r="11">
      <c r="A11" s="521" t="inlineStr">
        <is>
          <t>Setup 4</t>
        </is>
      </c>
      <c r="B11" s="521" t="inlineStr">
        <is>
          <t>Airplane Mode</t>
        </is>
      </c>
      <c r="C11" s="387" t="inlineStr">
        <is>
          <t xml:space="preserve">1. After logging in, go to your phone settings menu
2. Turn on Airplane mode.
3. Turn off Mobile Data, if applicable
- Set the device up so that you cannot submit forms or sync. </t>
        </is>
      </c>
      <c r="D11" s="387" t="inlineStr">
        <is>
          <t>The device is setup so that no forms will be submitted upon completion or syncing.</t>
        </is>
      </c>
      <c r="E11" s="564" t="n"/>
      <c r="F11" s="521" t="n"/>
      <c r="G11" s="521" t="n"/>
      <c r="H11" s="166" t="n"/>
      <c r="I11" s="140" t="inlineStr">
        <is>
          <t>Not automatable</t>
        </is>
      </c>
      <c r="J11" s="0" t="inlineStr">
        <is>
          <t>N/A</t>
        </is>
      </c>
      <c r="K11" s="0" t="n"/>
      <c r="L11" s="166" t="n"/>
    </row>
    <row r="12">
      <c r="A12" s="85" t="inlineStr">
        <is>
          <t>Outstanding Data</t>
        </is>
      </c>
      <c r="B12" s="85" t="n"/>
      <c r="C12" s="85" t="n"/>
      <c r="D12" s="85" t="inlineStr">
        <is>
          <t>Expected Result</t>
        </is>
      </c>
      <c r="E12" s="85" t="inlineStr">
        <is>
          <t>Pass/Fail</t>
        </is>
      </c>
      <c r="F12" s="85" t="n"/>
      <c r="G12" s="85" t="inlineStr">
        <is>
          <t>Notes</t>
        </is>
      </c>
      <c r="H12" s="166" t="n"/>
      <c r="I12" s="166" t="n"/>
      <c r="J12" s="166" t="n"/>
      <c r="K12" s="166" t="n"/>
      <c r="L12" s="166" t="n"/>
    </row>
    <row r="13">
      <c r="A13" s="544" t="inlineStr">
        <is>
          <t>NOTE: Remember to only complete 1 of these database test cases before proceeding to the Final cases. You will test each Database case separately by running through this entire tab several times to test each configuration</t>
        </is>
      </c>
      <c r="B13" s="639" t="n"/>
      <c r="C13" s="639" t="n"/>
      <c r="D13" s="639" t="n"/>
      <c r="E13" s="639" t="n"/>
      <c r="F13" s="639" t="n"/>
      <c r="G13" s="638" t="n"/>
      <c r="H13" s="166" t="n"/>
      <c r="I13" s="166" t="n"/>
      <c r="J13" s="166" t="n"/>
      <c r="K13" s="166" t="n"/>
      <c r="L13" s="166" t="n"/>
    </row>
    <row r="14">
      <c r="A14" s="521" t="inlineStr">
        <is>
          <t>Database 1</t>
        </is>
      </c>
      <c r="B14" s="521" t="inlineStr">
        <is>
          <t>Saved Form</t>
        </is>
      </c>
      <c r="C14" s="387" t="inlineStr">
        <is>
          <t>1. Open CommCare Application
2. Login to the Basic Test application
3. Select Start
4. Select the "Basic Form Tests" Module
5. Select "Basic Form"
6. On the first question, enter a name.
7. Submit the form
8. Return to the home screen.
9. Select Saved
10. Select 'Saved' from home screen and confirm you can see the form.
11. Return to the home screen.
12. Complete final steps 1 through 4</t>
        </is>
      </c>
      <c r="D14" s="521" t="n"/>
      <c r="E14" s="564" t="n"/>
      <c r="F14" s="521" t="n"/>
      <c r="G14" s="521" t="n"/>
      <c r="H14" s="166" t="n"/>
      <c r="I14" s="140" t="inlineStr">
        <is>
          <t>Not automatable</t>
        </is>
      </c>
      <c r="J14" s="0" t="inlineStr">
        <is>
          <t>N/A</t>
        </is>
      </c>
      <c r="K14" s="0" t="n"/>
      <c r="L14" s="166" t="n"/>
    </row>
    <row r="15">
      <c r="A15" s="521" t="inlineStr">
        <is>
          <t>Database 2</t>
        </is>
      </c>
      <c r="B15" s="521" t="inlineStr">
        <is>
          <t>Incomplete Form</t>
        </is>
      </c>
      <c r="C15" s="387" t="inlineStr">
        <is>
          <t>1. Open CommCare Application.
2. Login to Basic Test Application
3. Select Start
4. Select the "Basic Form Tests" Module
5. Select "Basic Form"
6. On the first question, enter a name.
7. Select the back button on the device.
8. Save the form as Incomplete.
9. Return to the home screen.
10. Select 'Incomplete' from home screen and confirm the form can be found here.
11. Return to the home screen.
12. Complete final steps 1 through 4</t>
        </is>
      </c>
      <c r="D15" s="521" t="n"/>
      <c r="E15" s="564" t="n"/>
      <c r="F15" s="521" t="n"/>
      <c r="G15" s="521" t="n"/>
      <c r="H15" s="166" t="n"/>
      <c r="I15" s="140" t="inlineStr">
        <is>
          <t>Automatable</t>
        </is>
      </c>
      <c r="J15" s="0" t="inlineStr">
        <is>
          <t>Yes</t>
        </is>
      </c>
      <c r="K15" s="0" t="inlineStr">
        <is>
          <t>scripts/run_appium_non_core_upgrade_suite.py --scenario database_change_upgrade (CommCare 2.45 -&gt; release, mid-session upgrade)</t>
        </is>
      </c>
      <c r="L15" s="166" t="n"/>
    </row>
    <row r="16">
      <c r="A16" s="521" t="inlineStr">
        <is>
          <t>Database 3</t>
        </is>
      </c>
      <c r="B16" s="521" t="inlineStr">
        <is>
          <t>Create Case Form</t>
        </is>
      </c>
      <c r="C16" s="387" t="inlineStr">
        <is>
          <t>1. Open CommCare Application.
2. Login to Basic Test Application.
3. Select Start.
4. Select "Case Tests" Modules
5. Select "Create a Case" form
6.  Enter a case name
7. Select Confirm - Please create this case. 
8. Submit
9. Return to the home screen.
10. Select 'Saved' from home screen and confirm you can see the form
11. Return to Home Screen. 
12. Complete final steps 1 through 4</t>
        </is>
      </c>
      <c r="D16" s="521" t="n"/>
      <c r="E16" s="564" t="n"/>
      <c r="F16" s="521" t="n"/>
      <c r="G16" s="521" t="n"/>
      <c r="H16" s="166" t="n"/>
      <c r="I16" s="140" t="inlineStr">
        <is>
          <t>Not automatable</t>
        </is>
      </c>
      <c r="J16" s="0" t="inlineStr">
        <is>
          <t>N/A</t>
        </is>
      </c>
      <c r="K16" s="0" t="n"/>
      <c r="L16" s="166" t="n"/>
    </row>
    <row r="17">
      <c r="A17" s="521" t="inlineStr">
        <is>
          <t>Database 4</t>
        </is>
      </c>
      <c r="B17" s="521" t="inlineStr">
        <is>
          <t>Update a Case Form</t>
        </is>
      </c>
      <c r="C17" s="387" t="inlineStr">
        <is>
          <t>1. Open CommCare Application.
2. Login to Basic Test Application.
3. Select Start.
4. Select "Case Tests" Modules
5. Select "Update a Case" form
6. Proceed through the form, answering questions as you go. 
7. Submit the form once done. 
8. Return to the home screen.
9. Select 'Saved' from home screen and confirm you can see the form
10. Return to Home Screen. 
11. Complete Final steps 1 through 4.</t>
        </is>
      </c>
      <c r="D17" s="521" t="n"/>
      <c r="E17" s="564" t="n"/>
      <c r="F17" s="521" t="n"/>
      <c r="G17" s="521" t="n"/>
      <c r="H17" s="166" t="n"/>
      <c r="I17" s="140" t="inlineStr">
        <is>
          <t>Not automatable</t>
        </is>
      </c>
      <c r="J17" s="0" t="inlineStr">
        <is>
          <t>N/A</t>
        </is>
      </c>
      <c r="K17" s="0" t="n"/>
      <c r="L17" s="166" t="n"/>
    </row>
    <row r="18">
      <c r="A18" s="521" t="inlineStr">
        <is>
          <t>Database 5</t>
        </is>
      </c>
      <c r="B18" s="521" t="inlineStr">
        <is>
          <t>Close Case Form</t>
        </is>
      </c>
      <c r="C18" s="387" t="inlineStr">
        <is>
          <t>1. Open CommCare Application
2. Login to Basic Test Application.
3. Select Start
4. Select "Case Tests" modules
5. Select "Close a Case" form
6. Select "Confirm - Please close this case"
7. Submit
8. Return to the home screen
9. Select Saved and confirm you can see the form.
10. Return to the Home Screen.
11. Complete final steps 1 through 4</t>
        </is>
      </c>
      <c r="D18" s="521" t="n"/>
      <c r="E18" s="564" t="n"/>
      <c r="F18" s="521" t="n"/>
      <c r="G18" s="521" t="n"/>
      <c r="H18" s="166" t="n"/>
      <c r="I18" s="140" t="inlineStr">
        <is>
          <t>Not automatable</t>
        </is>
      </c>
      <c r="J18" s="0" t="inlineStr">
        <is>
          <t>N/A</t>
        </is>
      </c>
      <c r="K18" s="0" t="n"/>
      <c r="L18" s="166" t="n"/>
    </row>
    <row r="19">
      <c r="A19" s="521" t="inlineStr">
        <is>
          <t>Database 6</t>
        </is>
      </c>
      <c r="B19" s="521" t="inlineStr">
        <is>
          <t>Form with Multimedia</t>
        </is>
      </c>
      <c r="C19" s="387" t="inlineStr">
        <is>
          <t>1. Open CommCare Application
2. Login to Basic Test Application.
3. Select Start
4. Select "Basic Form Tests" modules
5. Select "Multimedia Only" form
6. Proceed through the form adding Multimedia for each question
7. Submit
8. Return to the home screen
9. Select Saved and confirm you can see the form.
10. Return to the Home Screen.
11. Complete final steps 1 through 4
*Note: While performing step 11, confirm you can go through and play the Multimedia</t>
        </is>
      </c>
      <c r="D19" s="521" t="n"/>
      <c r="E19" s="564" t="n"/>
      <c r="F19" s="387" t="n"/>
      <c r="G19" s="387" t="inlineStr">
        <is>
          <t>For the first 3 questions, choose a photo/audio/video. The last three only allow you to take/record multimedia</t>
        </is>
      </c>
      <c r="H19" s="166" t="n"/>
      <c r="I19" s="140" t="inlineStr">
        <is>
          <t>Partial</t>
        </is>
      </c>
      <c r="J19" s="0" t="inlineStr">
        <is>
          <t>Yes</t>
        </is>
      </c>
      <c r="K19" s="0" t="inlineStr">
        <is>
          <t>flows_non_core/database_change/database_06_multimedia_form_saved.yaml</t>
        </is>
      </c>
      <c r="L19" s="166" t="n"/>
    </row>
    <row r="20">
      <c r="A20" s="85" t="inlineStr">
        <is>
          <t>Final Steps</t>
        </is>
      </c>
      <c r="B20" s="85" t="n"/>
      <c r="C20" s="85" t="n"/>
      <c r="D20" s="85" t="inlineStr">
        <is>
          <t>Expected Result</t>
        </is>
      </c>
      <c r="E20" s="85" t="inlineStr">
        <is>
          <t>Pass/Fail</t>
        </is>
      </c>
      <c r="F20" s="85" t="n"/>
      <c r="G20" s="85" t="inlineStr">
        <is>
          <t>Notes</t>
        </is>
      </c>
      <c r="H20" s="166" t="n"/>
      <c r="I20" s="166" t="n"/>
      <c r="J20" s="166" t="n"/>
      <c r="K20" s="166" t="n"/>
      <c r="L20" s="166" t="n"/>
    </row>
    <row r="21">
      <c r="A21" s="521" t="inlineStr">
        <is>
          <t>Final 1</t>
        </is>
      </c>
      <c r="B21" s="521" t="inlineStr">
        <is>
          <t>Update CommCare</t>
        </is>
      </c>
      <c r="C21" s="387" t="inlineStr">
        <is>
          <t>1. Download the latest commcare version
(QA probably provided a link to the latest download, which can be used to directly access the version)
2. Install the .apk to update the application.
3. After update, place the device in airplane mode</t>
        </is>
      </c>
      <c r="D21" s="521" t="n"/>
      <c r="E21" s="564" t="n"/>
      <c r="F21" s="521" t="n"/>
      <c r="G21" s="521" t="n"/>
      <c r="H21" s="166" t="n"/>
      <c r="I21" s="140" t="inlineStr">
        <is>
          <t>Automatable</t>
        </is>
      </c>
      <c r="J21" s="0" t="inlineStr">
        <is>
          <t>Yes</t>
        </is>
      </c>
      <c r="K21" s="0" t="inlineStr">
        <is>
          <t>scripts/run_appium_non_core_upgrade_suite.py --scenario database_change_upgrade (CommCare 2.45 -&gt; release, mid-session upgrade)</t>
        </is>
      </c>
      <c r="L21" s="166" t="n"/>
    </row>
    <row r="22">
      <c r="A22" s="521" t="inlineStr">
        <is>
          <t xml:space="preserve">Final 2 </t>
        </is>
      </c>
      <c r="B22" s="521" t="inlineStr">
        <is>
          <t>Verify</t>
        </is>
      </c>
      <c r="C22" s="387" t="inlineStr">
        <is>
          <t xml:space="preserve">1. Open CommCare
2. Login to the application.
3. Confirm outstanding forms from Database test cases are there
(Check saved and/or incomplete forms as the 'Database' steps required </t>
        </is>
      </c>
      <c r="D22" s="521" t="n"/>
      <c r="E22" s="564" t="n"/>
      <c r="F22" s="521" t="n"/>
      <c r="G22" s="521" t="n"/>
      <c r="H22" s="166" t="n"/>
      <c r="I22" s="140" t="inlineStr">
        <is>
          <t>Automatable</t>
        </is>
      </c>
      <c r="J22" s="0" t="inlineStr">
        <is>
          <t>Yes</t>
        </is>
      </c>
      <c r="K22" s="0" t="inlineStr">
        <is>
          <t>scripts/run_appium_non_core_upgrade_suite.py --scenario database_change_upgrade (CommCare 2.45 -&gt; release, mid-session upgrade)</t>
        </is>
      </c>
      <c r="L22" s="166" t="n"/>
    </row>
    <row r="23">
      <c r="A23" s="521" t="inlineStr">
        <is>
          <t>Final 3</t>
        </is>
      </c>
      <c r="B23" s="521" t="inlineStr">
        <is>
          <t>Enable Data Submission</t>
        </is>
      </c>
      <c r="C23" s="387" t="inlineStr">
        <is>
          <t>1. Disable Airplane mode.
2. Enable Mobile Data
- Set the phone up that you can submit data again.</t>
        </is>
      </c>
      <c r="D23" s="521" t="n"/>
      <c r="E23" s="564" t="n"/>
      <c r="F23" s="521" t="n"/>
      <c r="G23" s="521" t="n"/>
      <c r="H23" s="166" t="n"/>
      <c r="I23" s="140" t="inlineStr">
        <is>
          <t>Not automatable</t>
        </is>
      </c>
      <c r="J23" s="0" t="inlineStr">
        <is>
          <t>N/A</t>
        </is>
      </c>
      <c r="K23" s="0" t="n"/>
      <c r="L23" s="166" t="n"/>
    </row>
    <row r="24">
      <c r="A24" s="521" t="inlineStr">
        <is>
          <t>Final 4</t>
        </is>
      </c>
      <c r="B24" s="521" t="inlineStr">
        <is>
          <t>Submit</t>
        </is>
      </c>
      <c r="C24" s="387" t="inlineStr">
        <is>
          <t>1. Submit the data by selecting "Sync with Server"
2. Confirm the forms are submitted successfully. You should receive a message stating the forms were sent after the sync is complete. 
3. Proceed to https://www.commcarehq.org/a/qateam/reports/submit_history/ and confirm the forms were submitted.</t>
        </is>
      </c>
      <c r="D24" s="521" t="n"/>
      <c r="E24" s="564" t="n"/>
      <c r="F24" s="521" t="n"/>
      <c r="G24" s="521" t="n"/>
      <c r="H24" s="166" t="n"/>
      <c r="I24" s="140" t="inlineStr">
        <is>
          <t>Not automatable</t>
        </is>
      </c>
      <c r="J24" s="0" t="inlineStr">
        <is>
          <t>N/A</t>
        </is>
      </c>
      <c r="K24" s="0" t="n"/>
      <c r="L24" s="166" t="n"/>
    </row>
    <row r="25">
      <c r="A25" s="166" t="n"/>
      <c r="B25" s="166" t="n"/>
      <c r="C25" s="166" t="n"/>
      <c r="D25" s="166" t="n"/>
      <c r="E25" s="166" t="n"/>
      <c r="F25" s="166" t="n"/>
      <c r="G25" s="166" t="n"/>
      <c r="H25" s="166" t="n"/>
      <c r="I25" s="166" t="n"/>
      <c r="J25" s="166" t="n"/>
      <c r="K25" s="166" t="n"/>
      <c r="L25" s="166" t="n"/>
    </row>
    <row r="26">
      <c r="A26" s="85" t="inlineStr">
        <is>
          <t>Jumping Versions</t>
        </is>
      </c>
      <c r="B26" s="85" t="n"/>
      <c r="C26" s="85" t="n"/>
      <c r="D26" s="85" t="inlineStr">
        <is>
          <t>Expected Result</t>
        </is>
      </c>
      <c r="E26" s="85" t="inlineStr">
        <is>
          <t>Pass/Fail</t>
        </is>
      </c>
      <c r="F26" s="85" t="n"/>
      <c r="G26" s="85" t="inlineStr">
        <is>
          <t>Notes</t>
        </is>
      </c>
      <c r="H26" s="166" t="n"/>
      <c r="I26" s="166" t="n"/>
      <c r="J26" s="166" t="n"/>
      <c r="K26" s="166" t="n"/>
      <c r="L26" s="166" t="n"/>
    </row>
    <row r="27">
      <c r="A27" s="521" t="inlineStr">
        <is>
          <t>Database 7</t>
        </is>
      </c>
      <c r="B27" s="521" t="inlineStr">
        <is>
          <t>Jumping versions (Small Gap)</t>
        </is>
      </c>
      <c r="C27" s="184" t="inlineStr">
        <is>
          <t>1. Uninstall CommCare
2. Install a version of CommCare several versions behind the latest (2.38 for example)
https://github.com/dimagi/commcare-android/releases 
3. Install app with code: 2URBn9w
2. Login to the Basic Test application
3. Select Start
4. Select the "Basic Test Module"
5. Select "Basic Form"
6. On the first question, enter a name.
7. Submit the form
8. Return to the home screen.
9. Select 'Saved' from home screen and confirm you can see the form
10. Return to the home screen.
11. Complete final steps 1 through 4</t>
        </is>
      </c>
      <c r="D27" s="521" t="n"/>
      <c r="E27" s="564" t="n"/>
      <c r="F27" s="521" t="n"/>
      <c r="G27" s="521" t="n"/>
      <c r="H27" s="166" t="n"/>
      <c r="I27" s="140" t="inlineStr">
        <is>
          <t>Automatable</t>
        </is>
      </c>
      <c r="J27" s="0" t="inlineStr">
        <is>
          <t>Yes</t>
        </is>
      </c>
      <c r="K27" s="0" t="inlineStr">
        <is>
          <t>scripts/run_appium_non_core_upgrade_suite.py --scenario database_change_upgrade (CommCare 2.45 -&gt; release, mid-session upgrade)</t>
        </is>
      </c>
      <c r="L27" s="166" t="n"/>
    </row>
    <row r="28">
      <c r="A28" s="187" t="inlineStr">
        <is>
          <t>Database 8
Android 8 or below</t>
        </is>
      </c>
      <c r="B28" s="189" t="inlineStr">
        <is>
          <t>Jumping Versions (Large Gap)</t>
        </is>
      </c>
      <c r="C28" s="184" t="inlineStr">
        <is>
          <t>1. Uninstall CommCare from your mobile device
2. Proceed to the ".apk Files" Folder
3. Download the "Commcare_2.21.1.apk" located in this folder
4. Transfer the 2.21.apk to your device and install it.
5. Install the Database Change application found here:
https://www.commcarehq.org/a/qateam/apps/view/a87e38752a0743a78b254afbd1876405/
NOTE: Scan using "Barcode Scanner" app and ensure the version of the build is 2.21 (make a new version if necessary) 
6. Login to Database Change
7. Select Start
8. Select the "Basic Test" Menu
9. Select "First Form"
10. On the first question (Basic Question), enter a value
11. Submit the form
12. Return to the home screen.
13. Select 'Saved' from home screen and confirm you can see the form
14. Return to the home screen.
15. Complete final steps 1 through 4
16. After completing final steps 1 through 4, proceed to Database Change Logs section</t>
        </is>
      </c>
      <c r="D28" s="192" t="n"/>
      <c r="E28" s="564" t="n"/>
      <c r="F28" s="195" t="n"/>
      <c r="G28" s="195" t="n"/>
      <c r="H28" s="166" t="n"/>
      <c r="I28" s="140" t="inlineStr">
        <is>
          <t>Not automatable</t>
        </is>
      </c>
      <c r="J28" s="0" t="inlineStr">
        <is>
          <t>N/A</t>
        </is>
      </c>
      <c r="K28" s="0" t="n"/>
      <c r="L28" s="166" t="n"/>
    </row>
    <row r="29">
      <c r="A29" s="187" t="inlineStr">
        <is>
          <t>Database 9
Android 9 or above</t>
        </is>
      </c>
      <c r="B29" s="189" t="inlineStr">
        <is>
          <t>Jumping Versions (Large Gap)</t>
        </is>
      </c>
      <c r="C29" s="184" t="inlineStr">
        <is>
          <t>1. Uninstall CommCare from your mobile device
2. Download 2.35 from https://github.com/dimagi/commcare-android/releases
3. Transfer the apk to your device and install it.
4. Install the Database Change application found here:
NOTE: Scan using "Barcode Scanner" app and ensure the version of the build is 2.35 (make a new version if necessary) 
5. Login to Database Change
6. Select Start
7. Select the "Basic Test" Menu
8. Select "First Form"
9. On the first question (Basic Question), enter a value
10. Submit the form
11. Return to the home screen.
12. Select 'Saved' from home screen and confirm you can see the form
13. Return to the home screen.
14. Complete final steps 1 through 4
15. After completing final steps 1 through 4, proceed to Database Change Logs section</t>
        </is>
      </c>
      <c r="D29" s="192" t="n"/>
      <c r="E29" s="564" t="n"/>
      <c r="F29" s="195" t="n"/>
      <c r="G29" s="195" t="n"/>
      <c r="H29" s="166" t="n"/>
      <c r="I29" s="140" t="inlineStr">
        <is>
          <t>Automatable</t>
        </is>
      </c>
      <c r="J29" s="0" t="inlineStr">
        <is>
          <t>Yes</t>
        </is>
      </c>
      <c r="K29" s="0" t="inlineStr">
        <is>
          <t>scripts/run_appium_non_core_upgrade_suite.py --scenario database_change_upgrade (CommCare 2.45 -&gt; release, mid-session upgrade)</t>
        </is>
      </c>
      <c r="L29" s="166" t="n"/>
    </row>
    <row r="30">
      <c r="A30" s="166" t="n"/>
      <c r="B30" s="166" t="n"/>
      <c r="C30" s="382" t="n"/>
      <c r="D30" s="166" t="n"/>
      <c r="E30" s="166" t="n"/>
      <c r="F30" s="166" t="n"/>
      <c r="G30" s="166" t="n"/>
      <c r="H30" s="166" t="n"/>
      <c r="I30" s="166" t="n"/>
      <c r="J30" s="166" t="n"/>
      <c r="K30" s="166" t="n"/>
      <c r="L30" s="166" t="n"/>
    </row>
    <row r="31">
      <c r="A31" s="202" t="inlineStr">
        <is>
          <t>Database Change Logs</t>
        </is>
      </c>
      <c r="B31" s="85" t="n"/>
      <c r="C31" s="85" t="n"/>
      <c r="D31" s="85" t="inlineStr">
        <is>
          <t>Expected Result</t>
        </is>
      </c>
      <c r="E31" s="85" t="inlineStr">
        <is>
          <t>Pass/Fail</t>
        </is>
      </c>
      <c r="F31" s="85" t="n"/>
      <c r="G31" s="85" t="inlineStr">
        <is>
          <t>Notes</t>
        </is>
      </c>
      <c r="H31" s="166" t="n"/>
      <c r="I31" s="166" t="n"/>
      <c r="J31" s="166" t="n"/>
      <c r="K31" s="166" t="n"/>
      <c r="L31" s="166" t="n"/>
    </row>
    <row r="32">
      <c r="A32" s="204" t="inlineStr">
        <is>
          <t>Database Change 10</t>
        </is>
      </c>
      <c r="B32" s="204" t="inlineStr">
        <is>
          <t>Confirm APK Update</t>
        </is>
      </c>
      <c r="C32" s="564" t="inlineStr">
        <is>
          <t>1. Proceed to the login screen of CommCare
2. Open the menu and select "Go to App Manager"
3. Open the menu and select "Advanced"
4. Select Database Change Logs
5. Confirm you see a record stating that you installed the current CommCare version you are testing (ie. if I updated to CommCare 2.43, it will state CommCare Updated [CommCare Version: 2.43])</t>
        </is>
      </c>
      <c r="D32" s="204" t="n"/>
      <c r="E32" s="564" t="n"/>
      <c r="F32" s="564" t="n"/>
      <c r="G32" s="564" t="inlineStr">
        <is>
          <t>Be sure to have completed database change 8 before performing this test
If you are updating from CommCare 2.43 or later you should see "CommCare Updated" and if you are updating from a CC version older than CommCare 2.43 you should see "CommCare Installed</t>
        </is>
      </c>
      <c r="H32" s="166" t="n"/>
      <c r="I32" s="140" t="inlineStr">
        <is>
          <t>Partial</t>
        </is>
      </c>
      <c r="J32" s="0" t="inlineStr">
        <is>
          <t>Yes</t>
        </is>
      </c>
      <c r="K32" s="0" t="inlineStr">
        <is>
          <t>flows_non_core/database_change/database_change_10_12_change_logs.yaml</t>
        </is>
      </c>
      <c r="L32" s="166" t="n"/>
    </row>
    <row r="33">
      <c r="A33" s="204" t="inlineStr">
        <is>
          <t>Database Change 11</t>
        </is>
      </c>
      <c r="B33" s="204" t="inlineStr">
        <is>
          <t>Confirm App Install</t>
        </is>
      </c>
      <c r="C33" s="564" t="inlineStr">
        <is>
          <t>1. Return to the App Manager Screen
2. Select "Install an App"
3. Proceed to CCHQ and install the second most recent version of the Basic Test Application:
https://www.commcarehq.org/a/qateam/apps/view/cdfa6c85eb594b23b0c08729cd2beff1/
4. From the login screen, proceed to the App Manager
5. Proceed to the Advanced Menu
6. Select Database Change Logs
7. Confirm that there is now a record stating the Basic Tests application was installed</t>
        </is>
      </c>
      <c r="D33" s="204" t="n"/>
      <c r="E33" s="564" t="n"/>
      <c r="F33" s="564" t="n"/>
      <c r="G33" s="564" t="inlineStr">
        <is>
          <t>If you have two applications installed, uninstall one of them.
Make sure most recent version of the Basic Test application is marked as Released</t>
        </is>
      </c>
      <c r="H33" s="166" t="n"/>
      <c r="I33" s="140" t="inlineStr">
        <is>
          <t>Automatable</t>
        </is>
      </c>
      <c r="J33" s="0" t="inlineStr">
        <is>
          <t>Yes</t>
        </is>
      </c>
      <c r="K33" s="0" t="inlineStr">
        <is>
          <t>flows_non_core/database_change/database_change_10_12_change_logs.yaml</t>
        </is>
      </c>
      <c r="L33" s="166" t="n"/>
    </row>
    <row r="34">
      <c r="A34" s="204" t="inlineStr">
        <is>
          <t>Database Change 12</t>
        </is>
      </c>
      <c r="B34" s="204" t="inlineStr">
        <is>
          <t>Confirm App Update</t>
        </is>
      </c>
      <c r="C34" s="564" t="inlineStr">
        <is>
          <t>1. Return to the app manager screen
2. Select the Basic Tests application
3. Select Update
4. Proceed to Update the Basic Tests Application
5. After updating, return to the App Manager screen
6. Select Advanced from the menu
7. Select Database Change Logs
8. Confirm there are now two new logs:
- One stating the update was staged and started install
- One stating the app was updated with correct version listed</t>
        </is>
      </c>
      <c r="D34" s="204" t="n"/>
      <c r="E34" s="564" t="n"/>
      <c r="F34" s="204" t="n"/>
      <c r="G34" s="204" t="n"/>
      <c r="H34" s="166" t="n"/>
      <c r="I34" s="140" t="inlineStr">
        <is>
          <t>Automatable</t>
        </is>
      </c>
      <c r="J34" s="0" t="inlineStr">
        <is>
          <t>Yes</t>
        </is>
      </c>
      <c r="K34" s="0" t="inlineStr">
        <is>
          <t>flows_non_core/database_change/database_change_10_12_change_logs.yaml</t>
        </is>
      </c>
      <c r="L34" s="166" t="n"/>
    </row>
    <row r="35">
      <c r="A35" s="204" t="inlineStr">
        <is>
          <t>Database Change 13</t>
        </is>
      </c>
      <c r="B35" s="204" t="inlineStr">
        <is>
          <t>Share 1 (GMail)</t>
        </is>
      </c>
      <c r="C35" s="564" t="inlineStr">
        <is>
          <t>1. From the Database Change Log screen, select the Share Option
2. Select Gmail
3. Confirm you are brought to gmail.
4. Confirm there is a CommCare Data Change Logs.txt file attached to the e-mail.
5. Send the logs to an e-mail address you have access to.
6. Proceed to the e-mail account and confirm you received the e-mail with the logs
7. Open the logs and confirm they match what was displayed on the phone.</t>
        </is>
      </c>
      <c r="D35" s="204" t="n"/>
      <c r="E35" s="564" t="n"/>
      <c r="F35" s="204" t="n"/>
      <c r="G35" s="204" t="n"/>
      <c r="H35" s="166" t="n"/>
      <c r="I35" s="140" t="inlineStr">
        <is>
          <t>Partial</t>
        </is>
      </c>
      <c r="J35" s="0" t="inlineStr">
        <is>
          <t>Yes</t>
        </is>
      </c>
      <c r="K35" s="0" t="inlineStr">
        <is>
          <t>flows_non_core/database_change/database_change_13_share_logs_gmail.yaml</t>
        </is>
      </c>
      <c r="L35" s="166" t="n"/>
    </row>
  </sheetData>
  <mergeCells count="5">
    <mergeCell ref="A13:G13"/>
    <mergeCell ref="B2:C2"/>
    <mergeCell ref="B3:C3"/>
    <mergeCell ref="B5:C5"/>
    <mergeCell ref="B4:C4"/>
  </mergeCells>
  <conditionalFormatting sqref="E8:E11 E14:E19 E21:E24 E27:E29 E32:E35">
    <cfRule type="containsText" priority="1" operator="containsText" dxfId="0" text="Pass">
      <formula>NOT(ISERROR(SEARCH(("Pass"),(E8))))</formula>
    </cfRule>
    <cfRule type="containsText" priority="2" operator="containsText" dxfId="1" text="Fail">
      <formula>NOT(ISERROR(SEARCH(("Fail"),(E8))))</formula>
    </cfRule>
    <cfRule type="containsText" priority="3" operator="containsText" dxfId="2" text="N/A">
      <formula>NOT(ISERROR(SEARCH(("N/A"),(E8))))</formula>
    </cfRule>
    <cfRule type="containsText" priority="4" operator="containsText" dxfId="3" text="Blocking">
      <formula>NOT(ISERROR(SEARCH(("Blocking"),(E8))))</formula>
    </cfRule>
  </conditionalFormatting>
  <dataValidations count="1">
    <dataValidation sqref="E8:E11 E14:E19 E21:E24 E27:E29 E32:E35" showDropDown="0" showInputMessage="0" showErrorMessage="1" allowBlank="1" type="list">
      <formula1>"Pass,Fail,N/A,Blocking"</formula1>
    </dataValidation>
  </dataValidations>
  <hyperlinks>
    <hyperlink xmlns:r="http://schemas.openxmlformats.org/officeDocument/2006/relationships" ref="C27" r:id="rId1"/>
    <hyperlink xmlns:r="http://schemas.openxmlformats.org/officeDocument/2006/relationships" ref="C28" r:id="rId2"/>
    <hyperlink xmlns:r="http://schemas.openxmlformats.org/officeDocument/2006/relationships" ref="C29" r:id="rId3"/>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N23"/>
  <sheetViews>
    <sheetView workbookViewId="0">
      <selection activeCell="A1" sqref="A1"/>
    </sheetView>
  </sheetViews>
  <sheetFormatPr baseColWidth="8" defaultColWidth="17.29" defaultRowHeight="15" customHeight="1"/>
  <cols>
    <col width="21.29" customWidth="1" style="629" min="1" max="1"/>
    <col width="32.57" customWidth="1" style="629" min="2" max="2"/>
    <col width="56.57" customWidth="1" style="629" min="3" max="3"/>
    <col width="15.14" customWidth="1" style="629" min="4" max="4"/>
    <col width="28.29" customWidth="1" style="629" min="5" max="5"/>
    <col width="30.71" customWidth="1" style="629" min="6" max="6"/>
    <col width="19" customWidth="1" style="629" min="7" max="7"/>
    <col width="29.43" customWidth="1" style="629" min="8" max="8"/>
    <col width="18" customWidth="1" style="629" min="9" max="14"/>
    <col width="13" customWidth="1" style="629" min="10" max="10"/>
    <col width="60" customWidth="1" style="629" min="11" max="11"/>
  </cols>
  <sheetData>
    <row r="1" ht="12.75" customHeight="1" s="629">
      <c r="A1" s="200" t="inlineStr">
        <is>
          <t>Test Area:</t>
        </is>
      </c>
      <c r="B1" s="497" t="inlineStr">
        <is>
          <t xml:space="preserve">SD Card </t>
        </is>
      </c>
      <c r="C1" s="169" t="inlineStr">
        <is>
          <t>Notes:</t>
        </is>
      </c>
      <c r="D1" s="169" t="n"/>
      <c r="E1" s="169" t="n"/>
      <c r="F1" s="169" t="n"/>
      <c r="G1" s="170" t="n"/>
      <c r="H1" s="171" t="n"/>
      <c r="I1" s="175" t="n"/>
      <c r="J1" s="175" t="n"/>
      <c r="K1" s="175" t="n"/>
      <c r="L1" s="175" t="n"/>
      <c r="M1" s="175" t="n"/>
      <c r="N1" s="175" t="n"/>
    </row>
    <row r="2" ht="54" customHeight="1" s="629">
      <c r="A2" s="200" t="inlineStr">
        <is>
          <t>Summary:</t>
        </is>
      </c>
      <c r="B2" s="497" t="inlineStr">
        <is>
          <t>Test SD Card dump functionality</t>
        </is>
      </c>
      <c r="C2" s="666" t="inlineStr">
        <is>
          <t>These tests are designed to test the SD card form dump/upload functionality. Performing these tests requires two Android phones with CommCare and an external SD card slot. If you don't have this equipment, please contact the QA Team over Skype or email at qa@dimagi.com to figure out how to proceed. You will also need a file explorer application to view the SD card.
**For the following tests to pass, both phones must either be operating on the Android KitKat OS or both operating on versions other than Kitkat. You cannot have one device running Android KitKat, and the other device running a different Android operating system. This change was made after KitKat's release by Android. If you have one device running on KitKat and the other device is running a different version, you can try updating the software on your device to the newest version (Settings--&gt;About Phone--&gt;Check for Updates)</t>
        </is>
      </c>
      <c r="D2" s="639" t="n"/>
      <c r="E2" s="639" t="n"/>
      <c r="F2" s="638" t="n"/>
      <c r="G2" s="175" t="n"/>
      <c r="H2" s="175" t="n"/>
      <c r="I2" s="175" t="n"/>
      <c r="J2" s="175" t="n"/>
      <c r="K2" s="175" t="n"/>
      <c r="L2" s="175" t="n"/>
      <c r="M2" s="175" t="n"/>
      <c r="N2" s="175" t="n"/>
    </row>
    <row r="3" ht="12.75" customHeight="1" s="629">
      <c r="A3" s="200" t="inlineStr">
        <is>
          <t>Domain:</t>
        </is>
      </c>
      <c r="B3" s="667">
        <f>HYPERLINK("https://www.commcarehq.org/a/qateam/apps/view/cdfa6c85eb594b23b0c08729cd2beff1/","https://www.commcarehq.org/a/qateam/apps/view/cdfa6c85eb594b23b0c08729cd2beff1/")</f>
        <v/>
      </c>
      <c r="C3" s="638" t="n"/>
      <c r="D3" s="178" t="n"/>
      <c r="E3" s="178" t="n"/>
      <c r="F3" s="178" t="n"/>
      <c r="G3" s="175" t="n"/>
      <c r="H3" s="175" t="n"/>
      <c r="I3" s="175" t="n"/>
      <c r="J3" s="175" t="n"/>
      <c r="K3" s="175" t="n"/>
      <c r="L3" s="175" t="n"/>
      <c r="M3" s="175" t="n"/>
      <c r="N3" s="175" t="n"/>
    </row>
    <row r="4" ht="12.75" customHeight="1" s="629">
      <c r="A4" s="200" t="inlineStr">
        <is>
          <t xml:space="preserve">Application: </t>
        </is>
      </c>
      <c r="B4" s="497" t="inlineStr">
        <is>
          <t>Basic Tests</t>
        </is>
      </c>
      <c r="C4" s="178" t="n"/>
      <c r="D4" s="178" t="n"/>
      <c r="E4" s="178" t="n"/>
      <c r="F4" s="178" t="n"/>
      <c r="G4" s="175" t="n"/>
      <c r="H4" s="175" t="n"/>
      <c r="I4" s="175" t="n"/>
      <c r="J4" s="175" t="n"/>
      <c r="K4" s="175" t="n"/>
      <c r="L4" s="175" t="n"/>
      <c r="M4" s="175" t="n"/>
      <c r="N4" s="175" t="n"/>
    </row>
    <row r="5" ht="12.75" customHeight="1" s="629">
      <c r="A5" s="115" t="inlineStr">
        <is>
          <t>Prerequisites:</t>
        </is>
      </c>
      <c r="B5" s="196" t="inlineStr">
        <is>
          <t>Install Test Plan - Setup 1 and
 Install Case 1 or 2</t>
        </is>
      </c>
      <c r="C5" s="178" t="n"/>
      <c r="D5" s="178" t="n"/>
      <c r="E5" s="178" t="n"/>
      <c r="F5" s="178" t="n"/>
      <c r="G5" s="175" t="n"/>
      <c r="H5" s="175" t="n"/>
      <c r="I5" s="175" t="n"/>
      <c r="J5" s="175" t="n"/>
      <c r="K5" s="175" t="n"/>
      <c r="L5" s="175" t="n"/>
      <c r="M5" s="175" t="n"/>
      <c r="N5" s="175" t="n"/>
    </row>
    <row r="6" ht="12.75" customHeight="1" s="629">
      <c r="A6" s="175" t="n"/>
      <c r="B6" s="175" t="n"/>
      <c r="C6" s="175" t="n"/>
      <c r="D6" s="175" t="n"/>
      <c r="E6" s="175" t="n"/>
      <c r="F6" s="175" t="n"/>
      <c r="G6" s="175" t="n"/>
      <c r="H6" s="175" t="n"/>
      <c r="I6" s="175" t="n"/>
      <c r="J6" s="175" t="n"/>
      <c r="K6" s="175" t="n"/>
      <c r="L6" s="175" t="n"/>
      <c r="M6" s="175" t="n"/>
      <c r="N6" s="175" t="n"/>
    </row>
    <row r="7" ht="13.5" customHeight="1" s="629">
      <c r="A7" s="200" t="inlineStr">
        <is>
          <t>Test Case ID</t>
        </is>
      </c>
      <c r="B7" s="200" t="inlineStr">
        <is>
          <t>Summary</t>
        </is>
      </c>
      <c r="C7" s="200" t="inlineStr">
        <is>
          <t>Steps</t>
        </is>
      </c>
      <c r="D7" s="200" t="inlineStr">
        <is>
          <t>Pass/Fail</t>
        </is>
      </c>
      <c r="E7" s="200" t="inlineStr">
        <is>
          <t>Notes</t>
        </is>
      </c>
      <c r="F7" s="200" t="inlineStr">
        <is>
          <t>Ticket ID</t>
        </is>
      </c>
      <c r="G7" s="183" t="n"/>
      <c r="H7" s="175" t="n"/>
      <c r="I7" s="140" t="inlineStr">
        <is>
          <t>Maestro Automatability</t>
        </is>
      </c>
      <c r="J7" s="0" t="inlineStr">
        <is>
          <t>Automated?</t>
        </is>
      </c>
      <c r="K7" s="0" t="inlineStr">
        <is>
          <t>Flow File</t>
        </is>
      </c>
      <c r="L7" s="175" t="n"/>
      <c r="M7" s="175" t="n"/>
      <c r="N7" s="175" t="n"/>
    </row>
    <row r="8" ht="76.5" customHeight="1" s="629">
      <c r="A8" s="497" t="inlineStr">
        <is>
          <t>SD Card 1</t>
        </is>
      </c>
      <c r="B8" s="185" t="inlineStr">
        <is>
          <t>Manage SD</t>
        </is>
      </c>
      <c r="C8" s="186" t="inlineStr">
        <is>
          <t>1. Login to the application 
2. From the home screen,Click on Menu icon(3 dots) on the top right corner
3. Select Advanced
4. Select 'Manage SD'
5. Verify the "Form Dump" warning message displays and select, "OK"</t>
        </is>
      </c>
      <c r="D8" s="137" t="n"/>
      <c r="E8" s="353" t="n"/>
      <c r="F8" s="353" t="n"/>
      <c r="G8" s="175" t="n"/>
      <c r="H8" s="175" t="n"/>
      <c r="I8" s="140" t="inlineStr">
        <is>
          <t>Automatable</t>
        </is>
      </c>
      <c r="J8" s="0" t="inlineStr">
        <is>
          <t>Yes</t>
        </is>
      </c>
      <c r="K8" s="0" t="inlineStr">
        <is>
          <t>flows_non_core/sd_card_dump/sd_card_01_manage_sd_warning.yaml</t>
        </is>
      </c>
      <c r="L8" s="175" t="n"/>
      <c r="M8" s="175" t="n"/>
      <c r="N8" s="175" t="n"/>
    </row>
    <row r="9" ht="38.25" customHeight="1" s="629">
      <c r="A9" s="497" t="inlineStr">
        <is>
          <t>SD Card 2</t>
        </is>
      </c>
      <c r="B9" s="497" t="inlineStr">
        <is>
          <t>Insert SD</t>
        </is>
      </c>
      <c r="C9" s="198" t="inlineStr">
        <is>
          <t xml:space="preserve">1. Physically insert your SD card into Phone #1's slot
2. You should see the SD card folder on your phone's file explorer. </t>
        </is>
      </c>
      <c r="D9" s="137" t="n"/>
      <c r="E9" s="353" t="n"/>
      <c r="F9" s="353" t="n"/>
      <c r="G9" s="175" t="n"/>
      <c r="H9" s="175" t="n"/>
      <c r="I9" s="140" t="inlineStr">
        <is>
          <t>Not automatable</t>
        </is>
      </c>
      <c r="J9" s="0" t="inlineStr">
        <is>
          <t>N/A</t>
        </is>
      </c>
      <c r="K9" s="0" t="n"/>
      <c r="L9" s="175" t="n"/>
      <c r="M9" s="175" t="n"/>
      <c r="N9" s="175" t="n"/>
    </row>
    <row r="10" ht="38.25" customHeight="1" s="629">
      <c r="A10" s="497" t="inlineStr">
        <is>
          <t>SD Card 3</t>
        </is>
      </c>
      <c r="B10" s="497" t="inlineStr">
        <is>
          <t>Turn off internet</t>
        </is>
      </c>
      <c r="C10" s="198" t="inlineStr">
        <is>
          <t>1. Go to Phone #1's settings
2. Turn on Airplane mode
3. Verify your phone does not have data or a Wi-fi connection</t>
        </is>
      </c>
      <c r="D10" s="137" t="n"/>
      <c r="E10" s="353" t="n"/>
      <c r="F10" s="353" t="n"/>
      <c r="G10" s="175" t="n"/>
      <c r="H10" s="175" t="n"/>
      <c r="I10" s="140" t="inlineStr">
        <is>
          <t>Not automatable</t>
        </is>
      </c>
      <c r="J10" s="0" t="inlineStr">
        <is>
          <t>N/A</t>
        </is>
      </c>
      <c r="K10" s="0" t="n"/>
      <c r="L10" s="175" t="n"/>
      <c r="M10" s="175" t="n"/>
      <c r="N10" s="175" t="n"/>
    </row>
    <row r="11" ht="89.25" customHeight="1" s="629">
      <c r="A11" s="497" t="inlineStr">
        <is>
          <t>SD Card 4</t>
        </is>
      </c>
      <c r="B11" s="497" t="inlineStr">
        <is>
          <t>Create form</t>
        </is>
      </c>
      <c r="C11" s="198" t="inlineStr">
        <is>
          <t>1. Select "Start"--&gt;"Basic Form Tests"--&gt;"Basic Form"
2. Complete the form
3. Verify you're returned to the home screen
4. Verify that CommCare tells you it couldn't submit the form ("Couldn't contact server.Please make sure an internet connection is available or try again later")</t>
        </is>
      </c>
      <c r="D11" s="137" t="n"/>
      <c r="E11" s="353" t="n"/>
      <c r="F11" s="353" t="n"/>
      <c r="G11" s="175" t="n"/>
      <c r="H11" s="175" t="n"/>
      <c r="I11" s="140" t="inlineStr">
        <is>
          <t>Not automatable</t>
        </is>
      </c>
      <c r="J11" s="0" t="inlineStr">
        <is>
          <t>N/A</t>
        </is>
      </c>
      <c r="K11" s="0" t="n"/>
      <c r="L11" s="175" t="n"/>
      <c r="M11" s="175" t="n"/>
      <c r="N11" s="175" t="n"/>
    </row>
    <row r="12" ht="102" customHeight="1" s="629">
      <c r="A12" s="497" t="inlineStr">
        <is>
          <t>SD Card 5</t>
        </is>
      </c>
      <c r="B12" s="497" t="inlineStr">
        <is>
          <t>Create form with MM</t>
        </is>
      </c>
      <c r="C12" s="198" t="inlineStr">
        <is>
          <t xml:space="preserve">1. Select Start &gt; Basic Form Tests &gt; Question Types
2. Proceed through the form answering questions as you go. Be sure to answer all Multimedia Related Questions (take photos, record audio, record video and gather signature questions). 
3. Complete the form.
4. Verify you are returned to the home screen.
5. Verify that CommCare tells you it couldn't submit the form ("Couldn't contact server.Please make sure an internet connection is available or try again later") </t>
        </is>
      </c>
      <c r="D12" s="137" t="n"/>
      <c r="E12" s="353" t="n"/>
      <c r="F12" s="353" t="n"/>
      <c r="G12" s="175" t="n"/>
      <c r="H12" s="175" t="n"/>
      <c r="I12" s="140" t="inlineStr">
        <is>
          <t>Not automatable</t>
        </is>
      </c>
      <c r="J12" s="0" t="inlineStr">
        <is>
          <t>N/A</t>
        </is>
      </c>
      <c r="K12" s="0" t="n"/>
      <c r="L12" s="175" t="n"/>
      <c r="M12" s="175" t="n"/>
      <c r="N12" s="175" t="n"/>
    </row>
    <row r="13" ht="102" customHeight="1" s="629">
      <c r="A13" s="497" t="inlineStr">
        <is>
          <t>SD Card 6</t>
        </is>
      </c>
      <c r="B13" s="497" t="inlineStr">
        <is>
          <t>Go to SD Menu</t>
        </is>
      </c>
      <c r="C13" s="198" t="inlineStr">
        <is>
          <t>1. Return to the CommCare Home Screen
2. Click the drop down menu button in the top right
3.  Select "Advanced" and select "Manage SD" option
5. Verify a "Form Dump" warning displays
6. Select "OK"
4. Verify that the SD Card menu screen should read that there is 2 forms needing to be dumped and 0 forms needing to be submitted</t>
        </is>
      </c>
      <c r="D13" s="137" t="n"/>
      <c r="E13" s="198" t="n"/>
      <c r="F13" s="198" t="n"/>
      <c r="G13" s="175" t="n"/>
      <c r="H13" s="175" t="n"/>
      <c r="I13" s="140" t="inlineStr">
        <is>
          <t>Not automatable</t>
        </is>
      </c>
      <c r="J13" s="0" t="inlineStr">
        <is>
          <t>N/A</t>
        </is>
      </c>
      <c r="K13" s="0" t="n"/>
      <c r="L13" s="175" t="n"/>
      <c r="M13" s="175" t="n"/>
      <c r="N13" s="175" t="n"/>
    </row>
    <row r="14" ht="38.25" customHeight="1" s="629">
      <c r="A14" s="497" t="inlineStr">
        <is>
          <t>SD Card 7</t>
        </is>
      </c>
      <c r="B14" s="497" t="inlineStr">
        <is>
          <t>Turn on internet</t>
        </is>
      </c>
      <c r="C14" s="198" t="inlineStr">
        <is>
          <t>1. Go to Phone #1's settings
2. Turn off Airplane mode
3. Verify that the phone gets internet again (or mobile data)</t>
        </is>
      </c>
      <c r="D14" s="137" t="n"/>
      <c r="E14" s="353" t="n"/>
      <c r="F14" s="353" t="n"/>
      <c r="G14" s="175" t="n"/>
      <c r="H14" s="175" t="n"/>
      <c r="I14" s="140" t="inlineStr">
        <is>
          <t>Not automatable</t>
        </is>
      </c>
      <c r="J14" s="0" t="inlineStr">
        <is>
          <t>N/A</t>
        </is>
      </c>
      <c r="K14" s="0" t="n"/>
      <c r="L14" s="175" t="n"/>
      <c r="M14" s="175" t="n"/>
      <c r="N14" s="175" t="n"/>
    </row>
    <row r="15" ht="63.75" customHeight="1" s="629">
      <c r="A15" s="497" t="inlineStr">
        <is>
          <t>SD Card 8</t>
        </is>
      </c>
      <c r="B15" s="497" t="inlineStr">
        <is>
          <t>Dump Forms to SD</t>
        </is>
      </c>
      <c r="C15" s="198" t="inlineStr">
        <is>
          <t>1. Return to the SD Card Dump Menu
2. Press "Dump Forms"
3. Verify that CommCare displays a dialog saying that the form is being dumped, then returns to the home screen with the message "2 forms dumped successfully "</t>
        </is>
      </c>
      <c r="D15" s="137" t="n"/>
      <c r="E15" s="353" t="n"/>
      <c r="F15" s="353" t="n"/>
      <c r="G15" s="175" t="n"/>
      <c r="H15" s="175" t="n"/>
      <c r="I15" s="140" t="inlineStr">
        <is>
          <t>Not automatable</t>
        </is>
      </c>
      <c r="J15" s="0" t="inlineStr">
        <is>
          <t>N/A</t>
        </is>
      </c>
      <c r="K15" s="0" t="n"/>
      <c r="L15" s="175" t="n"/>
      <c r="M15" s="175" t="n"/>
      <c r="N15" s="175" t="n"/>
    </row>
    <row r="16" ht="51" customHeight="1" s="629">
      <c r="A16" s="497" t="inlineStr">
        <is>
          <t>SD Card 9</t>
        </is>
      </c>
      <c r="B16" s="497" t="inlineStr">
        <is>
          <t>Transfer SD card</t>
        </is>
      </c>
      <c r="C16" s="198" t="inlineStr">
        <is>
          <t>1. Unmount the SD card from phone #1 ("Settings"--&gt;"Device Storage"--&gt;"Unmount SD card")
2. Insert the SD Card into Phone #2
3. Verify that phone #2 acknowledges the SD card</t>
        </is>
      </c>
      <c r="D16" s="137" t="n"/>
      <c r="E16" s="353" t="n"/>
      <c r="F16" s="353" t="n"/>
      <c r="G16" s="175" t="n"/>
      <c r="H16" s="175" t="n"/>
      <c r="I16" s="140" t="inlineStr">
        <is>
          <t>Not automatable</t>
        </is>
      </c>
      <c r="J16" s="0" t="inlineStr">
        <is>
          <t>N/A</t>
        </is>
      </c>
      <c r="K16" s="0" t="n"/>
      <c r="L16" s="175" t="n"/>
      <c r="M16" s="175" t="n"/>
      <c r="N16" s="175" t="n"/>
    </row>
    <row r="17" ht="76.5" customHeight="1" s="629">
      <c r="A17" s="497" t="inlineStr">
        <is>
          <t>SD Card 10</t>
        </is>
      </c>
      <c r="B17" s="497" t="inlineStr">
        <is>
          <t>Check the files</t>
        </is>
      </c>
      <c r="C17" s="198" t="inlineStr">
        <is>
          <t xml:space="preserve">1. Open your file explorer
2. Navigate to the SD Card
3. Verify that the SD Card the External apps folder have a folders called "filedump". Inside this folder there should be 2 folder with a Global Unique Identifier (A long string of digits and characters) as its name
4. One of the folders should contain multimedia submitted with the form. Ensure this can be found in one of the folders. </t>
        </is>
      </c>
      <c r="D17" s="137" t="n"/>
      <c r="E17" s="353" t="n"/>
      <c r="F17" s="353" t="n"/>
      <c r="G17" s="175" t="n"/>
      <c r="H17" s="175" t="n"/>
      <c r="I17" s="140" t="inlineStr">
        <is>
          <t>Not automatable</t>
        </is>
      </c>
      <c r="J17" s="0" t="inlineStr">
        <is>
          <t>N/A</t>
        </is>
      </c>
      <c r="K17" s="0" t="n"/>
      <c r="L17" s="175" t="n"/>
      <c r="M17" s="175" t="n"/>
      <c r="N17" s="175" t="n"/>
    </row>
    <row r="18" ht="140.25" customHeight="1" s="629">
      <c r="A18" s="497" t="inlineStr">
        <is>
          <t>SD Card 11</t>
        </is>
      </c>
      <c r="B18" s="497" t="inlineStr">
        <is>
          <t>Submit SD Forms</t>
        </is>
      </c>
      <c r="C18" s="198" t="inlineStr">
        <is>
          <t>1. Open CommCare and log in
2. Navigate to the settings menu from the top right of the screen and click "Advanced" then "Manage SD"
3. Verify the "Form Dump" warning message displays and select, "OK"
4. Verify that the SD Card Dump screen should state that there are 0 files to dump, 2 files to submit
5. Click "Submit Forms"
5. Verify that after clicking the "Submit" button, CommCare shows a dialog, then returns you to the home screen with the message that two forms successfully submitted</t>
        </is>
      </c>
      <c r="D18" s="137" t="n"/>
      <c r="E18" s="353" t="n"/>
      <c r="F18" s="353" t="n"/>
      <c r="G18" s="175" t="n"/>
      <c r="H18" s="175" t="n"/>
      <c r="I18" s="140" t="inlineStr">
        <is>
          <t>Not automatable</t>
        </is>
      </c>
      <c r="J18" s="0" t="inlineStr">
        <is>
          <t>N/A</t>
        </is>
      </c>
      <c r="K18" s="0" t="n"/>
      <c r="L18" s="175" t="n"/>
      <c r="M18" s="175" t="n"/>
      <c r="N18" s="175" t="n"/>
    </row>
    <row r="19" ht="51" customHeight="1" s="629">
      <c r="A19" s="497" t="inlineStr">
        <is>
          <t>SD Card 12</t>
        </is>
      </c>
      <c r="B19" s="497" t="inlineStr">
        <is>
          <t>Check the files</t>
        </is>
      </c>
      <c r="C19" s="198" t="inlineStr">
        <is>
          <t>1. Open your file explorer
2. Navigate to the SD Card
3. Open the "filedump" folder
4. Verify that the "filedump" folder is empty</t>
        </is>
      </c>
      <c r="D19" s="137" t="n"/>
      <c r="E19" s="353" t="n"/>
      <c r="F19" s="353" t="n"/>
      <c r="G19" s="175" t="n"/>
      <c r="H19" s="175" t="n"/>
      <c r="I19" s="140" t="inlineStr">
        <is>
          <t>Not automatable</t>
        </is>
      </c>
      <c r="J19" s="0" t="inlineStr">
        <is>
          <t>N/A</t>
        </is>
      </c>
      <c r="K19" s="0" t="n"/>
      <c r="L19" s="175" t="n"/>
      <c r="M19" s="175" t="n"/>
      <c r="N19" s="175" t="n"/>
    </row>
    <row r="20" ht="51" customHeight="1" s="629">
      <c r="A20" s="497" t="inlineStr">
        <is>
          <t>SD Card 13</t>
        </is>
      </c>
      <c r="B20" s="497" t="inlineStr">
        <is>
          <t>Failed - no SD</t>
        </is>
      </c>
      <c r="C20" s="198" t="inlineStr">
        <is>
          <t>1. Complete SD Card steps 5-7 with Phone #1 that DOES NOT have an SD card in it
2. Return to the SD Card Dump Menu
3. Click on "Dump Forms"
4. Verify that the SD Card Screen says "Cannot detect your external SD card. Please try inserting again or get support"</t>
        </is>
      </c>
      <c r="D20" s="137" t="n"/>
      <c r="E20" s="198" t="n"/>
      <c r="F20" s="198" t="n"/>
      <c r="G20" s="175" t="n"/>
      <c r="H20" s="175" t="n"/>
      <c r="I20" s="140" t="inlineStr">
        <is>
          <t>Not automatable</t>
        </is>
      </c>
      <c r="J20" s="0" t="inlineStr">
        <is>
          <t>N/A</t>
        </is>
      </c>
      <c r="K20" s="0" t="n"/>
      <c r="L20" s="175" t="n"/>
      <c r="M20" s="175" t="n"/>
      <c r="N20" s="175" t="n"/>
    </row>
    <row r="21" ht="153" customHeight="1" s="629">
      <c r="A21" s="497" t="inlineStr">
        <is>
          <t>SD Card 14</t>
        </is>
      </c>
      <c r="B21" s="497" t="inlineStr">
        <is>
          <t>Interrupted SD Upload</t>
        </is>
      </c>
      <c r="C21" s="198" t="inlineStr">
        <is>
          <t>1. Turn on Airplane mode and 5 times to create 5 forms
2. Re-insert the SD Card back in the phone
3. Go to the SD Card Screen and hit "Dump Forms"
4. Turn off airplane mode
5. Go to the SD Card Screen
6. Click "Submit forms"
7. Turn on airplane mode midway through the upload
8. Return to CommCare
9. Verify that CommCare gives you an error message " Couldn't reach the server.
Please ensure that you are connected to the internet"
10. Verify that when you return to the SD Card Screen the message should read that there is some number of forms X remaining to be uploaded</t>
        </is>
      </c>
      <c r="D21" s="137" t="n"/>
      <c r="E21" s="206" t="n"/>
      <c r="F21" s="206" t="n"/>
      <c r="G21" s="175" t="n"/>
      <c r="H21" s="175" t="n"/>
      <c r="I21" s="140" t="inlineStr">
        <is>
          <t>Not automatable</t>
        </is>
      </c>
      <c r="J21" s="0" t="inlineStr">
        <is>
          <t>N/A</t>
        </is>
      </c>
      <c r="K21" s="0" t="n"/>
      <c r="L21" s="175" t="n"/>
      <c r="M21" s="175" t="n"/>
      <c r="N21" s="175" t="n"/>
    </row>
    <row r="22" ht="102" customHeight="1" s="629">
      <c r="A22" s="497" t="inlineStr">
        <is>
          <t>SD Card 15</t>
        </is>
      </c>
      <c r="B22" s="497" t="inlineStr">
        <is>
          <t>Check Forms on HQ</t>
        </is>
      </c>
      <c r="C22" s="207" t="inlineStr">
        <is>
          <t>1. Navigate to www.commcarehq.org/a/qateam--&gt;"Reports"--&gt;"Submit History"
2. Filter your search to narrow your results to the forms submitted in previous steps
3. Verify that all of the forms now listed on the SD Card Screen should be in the submission history; so, if the SD card screen said there were X forms to be uploaded, there should be the same quantity of forms found in the submission history.</t>
        </is>
      </c>
      <c r="D22" s="137" t="n"/>
      <c r="E22" s="353" t="n"/>
      <c r="F22" s="353" t="n"/>
      <c r="G22" s="175" t="n"/>
      <c r="H22" s="175" t="n"/>
      <c r="I22" s="140" t="inlineStr">
        <is>
          <t>Not automatable</t>
        </is>
      </c>
      <c r="J22" s="0" t="inlineStr">
        <is>
          <t>N/A</t>
        </is>
      </c>
      <c r="K22" s="0" t="n"/>
      <c r="L22" s="175" t="n"/>
      <c r="M22" s="175" t="n"/>
      <c r="N22" s="175" t="n"/>
    </row>
    <row r="23" ht="76.5" customHeight="1" s="629">
      <c r="A23" s="497" t="inlineStr">
        <is>
          <t>SD Card 16</t>
        </is>
      </c>
      <c r="B23" s="497" t="inlineStr">
        <is>
          <t>Fail - no internet</t>
        </is>
      </c>
      <c r="C23" s="198" t="inlineStr">
        <is>
          <t>1. Return to the SD Card Screen (you should still be in airplane mode)
2. Click the "Submit forms" button
3. Verify that CommCare gives you an error message " Couldn't reach the server.
Please ensure that you are connected to the internet"
4. Verify that the SD Card still has your form in it</t>
        </is>
      </c>
      <c r="D23" s="137" t="n"/>
      <c r="E23" s="208" t="n"/>
      <c r="F23" s="208" t="n"/>
      <c r="G23" s="175" t="n"/>
      <c r="H23" s="175" t="n"/>
      <c r="I23" s="140" t="inlineStr">
        <is>
          <t>Not automatable</t>
        </is>
      </c>
      <c r="J23" s="0" t="inlineStr">
        <is>
          <t>N/A</t>
        </is>
      </c>
      <c r="K23" s="0" t="n"/>
      <c r="L23" s="175" t="n"/>
      <c r="M23" s="175" t="n"/>
      <c r="N23" s="175" t="n"/>
    </row>
  </sheetData>
  <mergeCells count="2">
    <mergeCell ref="C2:F2"/>
    <mergeCell ref="B3:C3"/>
  </mergeCells>
  <conditionalFormatting sqref="D8:D23">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23" showDropDown="0" showInputMessage="0" showErrorMessage="1" allowBlank="1" type="list">
      <formula1>"Pass,Fail,N/A,Blocking"</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K16"/>
  <sheetViews>
    <sheetView workbookViewId="0">
      <selection activeCell="A1" sqref="A1"/>
    </sheetView>
  </sheetViews>
  <sheetFormatPr baseColWidth="8" defaultColWidth="17.29" defaultRowHeight="15" customHeight="1"/>
  <cols>
    <col width="30.29" customWidth="1" style="629" min="2" max="2"/>
    <col width="50.43" customWidth="1" style="629" min="3" max="3"/>
    <col width="21.86" customWidth="1" style="629" min="5" max="6"/>
    <col width="18" customWidth="1" style="629" min="9" max="9"/>
    <col width="13" customWidth="1" style="629" min="10" max="10"/>
    <col width="60" customWidth="1" style="629" min="11" max="11"/>
  </cols>
  <sheetData>
    <row r="1">
      <c r="A1" s="200" t="inlineStr">
        <is>
          <t>Test Area:</t>
        </is>
      </c>
      <c r="B1" s="497" t="inlineStr">
        <is>
          <t>Wi-Fi Direct</t>
        </is>
      </c>
      <c r="C1" s="169" t="inlineStr">
        <is>
          <t>Notes:</t>
        </is>
      </c>
      <c r="D1" s="169" t="n"/>
      <c r="E1" s="169" t="n"/>
      <c r="F1" s="169" t="n"/>
      <c r="G1" s="145" t="n"/>
      <c r="H1" s="145" t="n"/>
    </row>
    <row r="2">
      <c r="A2" s="200" t="inlineStr">
        <is>
          <t>Summary:</t>
        </is>
      </c>
      <c r="B2" s="497" t="inlineStr">
        <is>
          <t>Test Wi-fi Directfunctionality</t>
        </is>
      </c>
      <c r="C2" s="666" t="inlineStr">
        <is>
          <t xml:space="preserve">To test this feature, you will require 2 devices running Android 4.0 or later. These devices will need to support Wi-Fi direct. To confirm if your device has Wi-Fi direct, you can proceed to the device settings &gt; Connections. Somewhere in the connections settings should be the Wi-Fi direct option. If this is not there, the device most likely does not support it. </t>
        </is>
      </c>
      <c r="D2" s="639" t="n"/>
      <c r="E2" s="639" t="n"/>
      <c r="F2" s="638" t="n"/>
      <c r="G2" s="188" t="n"/>
    </row>
    <row r="3">
      <c r="A3" s="200" t="inlineStr">
        <is>
          <t>Domain:</t>
        </is>
      </c>
      <c r="B3" s="667">
        <f>HYPERLINK("https://www.commcarehq.org/a/qateam/apps/view/cdfa6c85eb594b23b0c08729cd2beff1/","https://www.commcarehq.org/a/qateam/apps/view/cdfa6c85eb594b23b0c08729cd2beff1/")</f>
        <v/>
      </c>
      <c r="C3" s="638" t="n"/>
      <c r="D3" s="178" t="n"/>
      <c r="E3" s="178" t="n"/>
      <c r="F3" s="178" t="n"/>
    </row>
    <row r="4">
      <c r="A4" s="200" t="inlineStr">
        <is>
          <t xml:space="preserve">Application: </t>
        </is>
      </c>
      <c r="B4" s="497" t="inlineStr">
        <is>
          <t>Basic Tests</t>
        </is>
      </c>
      <c r="C4" s="178" t="n"/>
      <c r="D4" s="178" t="n"/>
      <c r="E4" s="178" t="n"/>
      <c r="F4" s="178" t="n"/>
      <c r="G4" s="145" t="n"/>
    </row>
    <row r="5">
      <c r="A5" s="115" t="inlineStr">
        <is>
          <t>Prerequisites:</t>
        </is>
      </c>
      <c r="B5" s="193" t="inlineStr">
        <is>
          <t>Install Test Plan - Setup 1 and Install Case 1, 2, 3 or 4</t>
        </is>
      </c>
      <c r="C5" s="196" t="n"/>
      <c r="D5" s="178" t="n"/>
      <c r="E5" s="178" t="n"/>
      <c r="F5" s="178" t="n"/>
    </row>
    <row r="6">
      <c r="C6" s="197" t="n"/>
    </row>
    <row r="7">
      <c r="A7" s="200" t="inlineStr">
        <is>
          <t>Test Case ID</t>
        </is>
      </c>
      <c r="B7" s="200" t="inlineStr">
        <is>
          <t>Summary</t>
        </is>
      </c>
      <c r="C7" s="200" t="inlineStr">
        <is>
          <t>Steps</t>
        </is>
      </c>
      <c r="D7" s="200" t="inlineStr">
        <is>
          <t>Pass/Fail</t>
        </is>
      </c>
      <c r="E7" s="200" t="inlineStr">
        <is>
          <t>Notes</t>
        </is>
      </c>
      <c r="F7" s="200" t="inlineStr">
        <is>
          <t>Ticket ID</t>
        </is>
      </c>
      <c r="I7" s="140" t="inlineStr">
        <is>
          <t>Maestro Automatability</t>
        </is>
      </c>
      <c r="J7" s="0" t="inlineStr">
        <is>
          <t>Automated?</t>
        </is>
      </c>
      <c r="K7" s="0" t="inlineStr">
        <is>
          <t>Flow File</t>
        </is>
      </c>
    </row>
    <row r="8">
      <c r="A8" s="479" t="inlineStr">
        <is>
          <t>Install 1</t>
        </is>
      </c>
      <c r="B8" s="479" t="inlineStr">
        <is>
          <t>Basic Application</t>
        </is>
      </c>
      <c r="C8" s="497" t="inlineStr">
        <is>
          <t>1. Proceed to the QAteam domain.
2. Deploy the Basic Tests application to both devices.</t>
        </is>
      </c>
      <c r="D8" s="137" t="n"/>
      <c r="E8" s="479" t="n"/>
      <c r="F8" s="479" t="n"/>
      <c r="I8" s="140" t="inlineStr">
        <is>
          <t>Partial</t>
        </is>
      </c>
      <c r="J8" s="0" t="inlineStr">
        <is>
          <t>Yes</t>
        </is>
      </c>
      <c r="K8" s="0" t="inlineStr">
        <is>
          <t>flows_non_core/wifi_direct/wifi_01_change_modes_dialog.yaml</t>
        </is>
      </c>
    </row>
    <row r="9">
      <c r="A9" s="479" t="inlineStr">
        <is>
          <t>WiFi 1</t>
        </is>
      </c>
      <c r="B9" s="479" t="inlineStr">
        <is>
          <t>Change Modes</t>
        </is>
      </c>
      <c r="C9" s="497" t="inlineStr">
        <is>
          <t>1. Open CommCare on one of your devices. 
2. Login to Commcare
3. From the home screen, select the menu settings option (3 dots in top right).
4. Select Advanced-&gt; Wifi Direct
5. Verify a popup dialogue appears asking if you'd like to Transfer, Receive and Submit.
6. Select Transfer
7. Verify the dialogue disappears and the device's connection status alters to "Entered Send mode"
8. Select Change Mode
9. Verify a popup dialogue appears asking if you'd like to Transfer, Receive and Submit.
10. Select 'Submit'
11. Verify the screen changes and you enter 'Submit Form Mode'.
12. Select Change Mode
13. Select Receive. 
14. Verify the screen changes and that you have entered 'Receive Form Mode'</t>
        </is>
      </c>
      <c r="D9" s="137" t="n"/>
      <c r="E9" s="497" t="inlineStr">
        <is>
          <t>Goal of this case is to ensure you can change modes. Leave the device in Receive mode for future test cases.</t>
        </is>
      </c>
      <c r="F9" s="497" t="n"/>
      <c r="I9" s="140" t="inlineStr">
        <is>
          <t>Automatable</t>
        </is>
      </c>
      <c r="J9" s="0" t="inlineStr">
        <is>
          <t>Yes</t>
        </is>
      </c>
      <c r="K9" s="0" t="inlineStr">
        <is>
          <t>flows_non_core/wifi_direct/wifi_01_change_modes_dialog.yaml</t>
        </is>
      </c>
    </row>
    <row r="10">
      <c r="A10" s="479" t="inlineStr">
        <is>
          <t>WiFi 2</t>
        </is>
      </c>
      <c r="B10" s="479" t="inlineStr">
        <is>
          <t>Complete Form</t>
        </is>
      </c>
      <c r="C10" s="497" t="inlineStr">
        <is>
          <t>1. Now proceed to the second device and open CommCare.
1. Open the Basic Tests application on one of the device. 
2. Login to the application.
3. Put your device in Airplane mode (ensure there is no wifi connection so forms are not submitted upon completion).
4. Select Start &gt; Basic Form Tests &gt; Basic Form
5. Complete the form and select Finish
6. Verify you are returned to the homescreen.
7. Select 'Saved' from home screen and confirm you can see the form
8. Verify the form has not been submitted.</t>
        </is>
      </c>
      <c r="D10" s="137" t="n"/>
      <c r="E10" s="479" t="n"/>
      <c r="F10" s="479" t="n"/>
      <c r="I10" s="140" t="inlineStr">
        <is>
          <t>Not automatable</t>
        </is>
      </c>
      <c r="J10" s="0" t="inlineStr">
        <is>
          <t>N/A</t>
        </is>
      </c>
      <c r="K10" s="0" t="n"/>
    </row>
    <row r="11">
      <c r="A11" s="479" t="inlineStr">
        <is>
          <t>WiFi 3</t>
        </is>
      </c>
      <c r="B11" s="479" t="inlineStr">
        <is>
          <t>Complete Form with Multimedia</t>
        </is>
      </c>
      <c r="C11" s="497" t="inlineStr">
        <is>
          <t xml:space="preserve">1. Select Start &gt; Basic Form Tests &gt; Question Types
2. Proceed through the form answering questions as you go. Be sure to answer all Multimedia Related Questions (take photos, record audio, record video and gather signature questions). 
3. Complete the form.
4. Save and exit
5. Verify you are returned to the home screen.
6. Verify the form has not been submitted. </t>
        </is>
      </c>
      <c r="D11" s="137" t="n"/>
      <c r="E11" s="497" t="n"/>
      <c r="F11" s="497" t="n"/>
      <c r="I11" s="140" t="inlineStr">
        <is>
          <t>Not automatable</t>
        </is>
      </c>
      <c r="J11" s="0" t="inlineStr">
        <is>
          <t>N/A</t>
        </is>
      </c>
      <c r="K11" s="0" t="n"/>
    </row>
    <row r="12">
      <c r="A12" s="479" t="inlineStr">
        <is>
          <t>WiFi 4</t>
        </is>
      </c>
      <c r="B12" s="479" t="inlineStr">
        <is>
          <t>Transfer Mode</t>
        </is>
      </c>
      <c r="C12" s="497" t="inlineStr">
        <is>
          <t>1. Disable Airplane mode 
2. From the homescreen, select the settings menu (three dots).
3. Select Advanced 
4. Select Wifi Direct
5. Verify a popup dialogue appears asking if you would like to Send, Receive or Submit forms.
6. Select Transfer
7. Select Discover
8. Wait for your second device to be found. Once found, it should appear in the 'Peers' section.
9. Select your second device.
10. On your second device, you should get a notification saying you have received an 'Invitation to Connect'
11. Accept the invitation.</t>
        </is>
      </c>
      <c r="D12" s="137" t="n"/>
      <c r="E12" s="497" t="inlineStr">
        <is>
          <t>- Do not press sync after performing step 1. It will submit the form and you will have to repeat the first few test cases</t>
        </is>
      </c>
      <c r="F12" s="497" t="n"/>
      <c r="I12" s="140" t="inlineStr">
        <is>
          <t>Not automatable</t>
        </is>
      </c>
      <c r="J12" s="0" t="inlineStr">
        <is>
          <t>N/A</t>
        </is>
      </c>
      <c r="K12" s="0" t="n"/>
    </row>
    <row r="13">
      <c r="A13" s="479" t="inlineStr">
        <is>
          <t>WiFi 5</t>
        </is>
      </c>
      <c r="B13" s="479" t="inlineStr">
        <is>
          <t>Transfer Forms</t>
        </is>
      </c>
      <c r="C13" s="497" t="inlineStr">
        <is>
          <t>1. On the device that you had set up to Transfer forms, select Send.
2. A series of notifications should appear indicating that CommCare is zipping the files and sending the forms.
3. You should receive a notification that the device has sent the forms once complete.</t>
        </is>
      </c>
      <c r="D13" s="137" t="n"/>
      <c r="E13" s="479" t="n"/>
      <c r="F13" s="479" t="n"/>
      <c r="I13" s="140" t="inlineStr">
        <is>
          <t>Not automatable</t>
        </is>
      </c>
      <c r="J13" s="0" t="inlineStr">
        <is>
          <t>N/A</t>
        </is>
      </c>
      <c r="K13" s="0" t="n"/>
    </row>
    <row r="14">
      <c r="A14" s="479" t="inlineStr">
        <is>
          <t>WiFi 6</t>
        </is>
      </c>
      <c r="B14" s="479" t="inlineStr">
        <is>
          <t>Receive Forms</t>
        </is>
      </c>
      <c r="C14" s="497" t="inlineStr">
        <is>
          <t>1. On the device that you had set up to receive forms, you should receive a notification saying you have received the forms.
2. There should be a note stating "Received x files successfully!"
3.  There should be a note stating "Device has x collected forms."</t>
        </is>
      </c>
      <c r="D14" s="137" t="n"/>
      <c r="E14" s="479" t="n"/>
      <c r="F14" s="479" t="n"/>
      <c r="I14" s="140" t="inlineStr">
        <is>
          <t>Not automatable</t>
        </is>
      </c>
      <c r="J14" s="0" t="inlineStr">
        <is>
          <t>N/A</t>
        </is>
      </c>
      <c r="K14" s="0" t="n"/>
    </row>
    <row r="15">
      <c r="A15" s="479" t="inlineStr">
        <is>
          <t>WiFi 7</t>
        </is>
      </c>
      <c r="B15" s="479" t="inlineStr">
        <is>
          <t>Submit</t>
        </is>
      </c>
      <c r="C15" s="497" t="inlineStr">
        <is>
          <t>1. On the device that just received the forms, select Change Mode.
2. Select 'Submit'
3. Verify a notification pops up stating that CommCare is sending forms.
4. Verify you are returned to the homescreen.</t>
        </is>
      </c>
      <c r="D15" s="137" t="n"/>
      <c r="E15" s="479" t="n"/>
      <c r="F15" s="479" t="n"/>
      <c r="I15" s="140" t="inlineStr">
        <is>
          <t>Not automatable</t>
        </is>
      </c>
      <c r="J15" s="0" t="inlineStr">
        <is>
          <t>N/A</t>
        </is>
      </c>
      <c r="K15" s="0" t="n"/>
    </row>
    <row r="16">
      <c r="A16" s="479" t="inlineStr">
        <is>
          <t>WiFi 8</t>
        </is>
      </c>
      <c r="B16" s="479" t="inlineStr">
        <is>
          <t>Verify</t>
        </is>
      </c>
      <c r="C16" s="497" t="inlineStr">
        <is>
          <t xml:space="preserve">1. Proceed to the QAteam domain (www.commcarehq.org/a/qateam)
2. Select Reports &gt; View All
3. On the left hand side, select 'Raw Forms, Errors and Duplicates'
4. Filter so that you are searching only for 'Normal Forms' 
5. Confirm the forms you submitted via Wi-Fi Direct appear. They should be the first forms in the list. </t>
        </is>
      </c>
      <c r="D16" s="137" t="n"/>
      <c r="E16" s="479" t="n"/>
      <c r="F16" s="479" t="n"/>
      <c r="I16" s="140" t="inlineStr">
        <is>
          <t>Not automatable</t>
        </is>
      </c>
      <c r="J16" s="0" t="inlineStr">
        <is>
          <t>N/A</t>
        </is>
      </c>
      <c r="K16" s="0" t="n"/>
    </row>
  </sheetData>
  <mergeCells count="2">
    <mergeCell ref="C2:F2"/>
    <mergeCell ref="B3:C3"/>
  </mergeCells>
  <conditionalFormatting sqref="D8:D16">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6" showDropDown="0" showInputMessage="0" showErrorMessage="1" allowBlank="1" type="list">
      <formula1>"Pass,Fail,N/A,Blocking"</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K31"/>
  <sheetViews>
    <sheetView workbookViewId="0">
      <selection activeCell="A1" sqref="A1"/>
    </sheetView>
  </sheetViews>
  <sheetFormatPr baseColWidth="8" defaultColWidth="17.29" defaultRowHeight="15" customHeight="1"/>
  <cols>
    <col width="26" customWidth="1" style="629" min="2" max="2"/>
    <col width="65.86" customWidth="1" style="629" min="3" max="3"/>
    <col width="27.57" customWidth="1" style="629" min="4" max="4"/>
    <col width="18.43" customWidth="1" style="629" min="6" max="6"/>
    <col width="30.71" customWidth="1" style="629" min="7" max="7"/>
    <col width="22" customWidth="1" style="629" min="9" max="9"/>
    <col width="22" customWidth="1" style="629" min="10" max="10"/>
    <col width="22" customWidth="1" style="629" min="11" max="11"/>
  </cols>
  <sheetData>
    <row r="1">
      <c r="A1" s="209" t="inlineStr">
        <is>
          <t>Test Area</t>
        </is>
      </c>
      <c r="B1" s="668" t="inlineStr">
        <is>
          <t>Mobile Pins</t>
        </is>
      </c>
      <c r="C1" s="638" t="n"/>
      <c r="D1" s="150" t="n"/>
      <c r="E1" s="150" t="n"/>
    </row>
    <row r="2">
      <c r="A2" s="212" t="inlineStr">
        <is>
          <t>Summary:</t>
        </is>
      </c>
      <c r="B2" s="669" t="inlineStr">
        <is>
          <t>Test the ability to configure a mobile pin to login instead of password</t>
        </is>
      </c>
      <c r="C2" s="637" t="n"/>
      <c r="D2" s="150" t="n"/>
      <c r="E2" s="150" t="n"/>
    </row>
    <row r="3">
      <c r="A3" s="212" t="inlineStr">
        <is>
          <t>Domain:</t>
        </is>
      </c>
      <c r="B3" s="667">
        <f>HYPERLINK("https://www.commcarehq.org/a/qateam/apps/view/cdfa6c85eb594b23b0c08729cd2beff1/","https://www.commcarehq.org/a/qateam/apps/view/cdfa6c85eb594b23b0c08729cd2beff1/")</f>
        <v/>
      </c>
      <c r="C3" s="638" t="n"/>
      <c r="D3" s="150" t="n"/>
      <c r="E3" s="150" t="n"/>
    </row>
    <row r="4">
      <c r="A4" s="212" t="inlineStr">
        <is>
          <t xml:space="preserve">Application: </t>
        </is>
      </c>
      <c r="B4" s="669" t="inlineStr">
        <is>
          <t>Basic Test and Multimedia</t>
        </is>
      </c>
      <c r="C4" s="637" t="n"/>
      <c r="D4" s="150" t="n"/>
      <c r="E4" s="150" t="n"/>
    </row>
    <row r="5">
      <c r="A5" s="212" t="inlineStr">
        <is>
          <t>Prerequisites:</t>
        </is>
      </c>
      <c r="B5" s="669" t="inlineStr">
        <is>
          <t>Setup 1 and Install 1, 2, 3, 4 or 5 from Install Tab</t>
        </is>
      </c>
      <c r="C5" s="637" t="n"/>
      <c r="D5" s="150" t="n"/>
      <c r="E5" s="150" t="n"/>
    </row>
    <row r="7">
      <c r="A7" s="222" t="inlineStr">
        <is>
          <t>Item</t>
        </is>
      </c>
      <c r="B7" s="225" t="inlineStr">
        <is>
          <t>Description</t>
        </is>
      </c>
      <c r="C7" s="225" t="inlineStr">
        <is>
          <t>Steps</t>
        </is>
      </c>
      <c r="D7" s="225" t="inlineStr">
        <is>
          <t>Desired Outcome</t>
        </is>
      </c>
      <c r="E7" s="225" t="inlineStr">
        <is>
          <t>Pass/Fail</t>
        </is>
      </c>
      <c r="F7" s="225" t="inlineStr">
        <is>
          <t>Ticket ID</t>
        </is>
      </c>
      <c r="G7" s="225" t="inlineStr">
        <is>
          <t>Comments</t>
        </is>
      </c>
      <c r="I7" s="663" t="inlineStr">
        <is>
          <t>Maestro Automatability</t>
        </is>
      </c>
      <c r="J7" s="663" t="inlineStr">
        <is>
          <t>Automated?</t>
        </is>
      </c>
      <c r="K7" s="663" t="inlineStr">
        <is>
          <t>Flow File</t>
        </is>
      </c>
    </row>
    <row r="8">
      <c r="A8" s="485" t="inlineStr">
        <is>
          <t>Setup 1</t>
        </is>
      </c>
      <c r="B8" s="485" t="inlineStr">
        <is>
          <t>Install CommCare</t>
        </is>
      </c>
      <c r="C8" s="228" t="inlineStr">
        <is>
          <t>1. Uninstall any existing CommCare app from your device.
2. Install the the CommCare version in test using the link shared (on the ticket)
3. Once the installation is complete, open the application to verify the application installed properly.</t>
        </is>
      </c>
      <c r="D8" s="229" t="n"/>
      <c r="E8" s="564" t="n"/>
      <c r="F8" s="229" t="n"/>
      <c r="G8" s="229" t="n"/>
      <c r="I8" s="0" t="inlineStr">
        <is>
          <t>Automatable</t>
        </is>
      </c>
      <c r="J8" s="672" t="inlineStr">
        <is>
          <t>Yes</t>
        </is>
      </c>
      <c r="K8" s="0" t="inlineStr">
        <is>
          <t>(handled by scripts/download_apk.py - no dedicated flow needed)</t>
        </is>
      </c>
    </row>
    <row r="9">
      <c r="A9" s="485" t="inlineStr">
        <is>
          <t>Setup 2</t>
        </is>
      </c>
      <c r="B9" s="485" t="inlineStr">
        <is>
          <t>Install Application</t>
        </is>
      </c>
      <c r="C9" s="484" t="inlineStr">
        <is>
          <t xml:space="preserve">1. Proceed to the QAteam domain on: https://www.commcarehq.org/a/qateam/apps/view/cdfa6c85eb594b23b0c08729cd2beff1/        
2. Publish the latest version of the application to your device. </t>
        </is>
      </c>
      <c r="D9" s="229" t="n"/>
      <c r="E9" s="564" t="n"/>
      <c r="F9" s="229" t="n"/>
      <c r="G9" s="229" t="inlineStr">
        <is>
          <t>hq_setup/mobile_pins/setup_02_install_application.json covers only the HQ half (mark the CCZ app's latest build Released). It does NOT cover Setup 4's barcode-claim step (Not automatable - same camera/cross-surface limitation as Install 1), which must still be done by hand between running this JSON and the on-device Pin flows.</t>
        </is>
      </c>
      <c r="I9" s="0" t="inlineStr">
        <is>
          <t>Partial</t>
        </is>
      </c>
      <c r="J9" s="672" t="inlineStr">
        <is>
          <t>Yes</t>
        </is>
      </c>
      <c r="K9" s="0" t="inlineStr">
        <is>
          <t>(handled by hq_setup/mobile_pins/setup_02_install_application.json - no dedicated flow needed beyond common/login.yaml)</t>
        </is>
      </c>
    </row>
    <row r="10">
      <c r="A10" s="485" t="inlineStr">
        <is>
          <t>Setup 3</t>
        </is>
      </c>
      <c r="B10" s="485" t="inlineStr">
        <is>
          <t>Developer Options</t>
        </is>
      </c>
      <c r="C10" s="484" t="inlineStr">
        <is>
          <t>1. Deploy the application you will be testing on to your device.
2. Login to the application (test1/123).
3. From the home screen, click on menu icon(3 dots) on the top right corner
4. Select About CommCare &gt; Click on 'OK' button four times or until Developer options are enabled
5. A message will appear stating you that Developer Options enabled.</t>
        </is>
      </c>
      <c r="D10" s="484" t="inlineStr">
        <is>
          <t>Developer options are enabled</t>
        </is>
      </c>
      <c r="E10" s="564" t="n"/>
      <c r="F10" s="229" t="n"/>
      <c r="G10" s="229" t="n"/>
      <c r="I10" s="0" t="inlineStr">
        <is>
          <t>Automatable</t>
        </is>
      </c>
      <c r="J10" s="672" t="inlineStr">
        <is>
          <t>Yes</t>
        </is>
      </c>
      <c r="K10" s="0" t="inlineStr">
        <is>
          <t>flows/mobile_pins/setup_03_enable_developer_options.yaml</t>
        </is>
      </c>
    </row>
    <row r="11">
      <c r="A11" s="485" t="inlineStr">
        <is>
          <t>Setup 4</t>
        </is>
      </c>
      <c r="B11" s="485" t="inlineStr">
        <is>
          <t>Enable Feature</t>
        </is>
      </c>
      <c r="C11" s="484" t="inlineStr">
        <is>
          <t>1. From the home screen, Click on Menu icon(3 dots) on the top right corner
2. Select Settings --&gt; Developer Options
3. In Developer Options screen, click on Menu icon(3 dots) on the top right corner and choose 'Mobile Privileges'
4. Click on 'CLAIM  PRIVILEGES'
5. Access https://www.commcarehq.org/account/mobile_privileges/
6. On mobile,scan the barcode displayed on CommCareHQ.
7. Message 'The following privileges are enabled on your device' should be displayed
8. Return to home screen and select 'Settings'  from Menu icon(3 dots) 
9. Select 'Developer Options'--&gt;'Give option to use PIN for login' and select 'Enabled' Radio button
10. Logout of CommCare</t>
        </is>
      </c>
      <c r="D11" s="484" t="inlineStr">
        <is>
          <t>Mobile Pin feature is enabled</t>
        </is>
      </c>
      <c r="E11" s="564" t="n"/>
      <c r="F11" s="229" t="n"/>
      <c r="G11" s="229" t="inlineStr">
        <is>
          <t>Partial, rescoped 2026-08-09: the full claim (steps 4-10) is not automatable - the scanned QR encodes a plain signed JSON payload (not a URI, no deep link possible) and BrowserStack's camera-image-injection only works via a live Appium/XCUITest/Espresso WebDriver session, which Maestro has no hook to invoke. Flow verifies everything genuinely automatable instead: Developer Options unlock, reaching the Mobile Privileges/Claim Privileges screen, and confirming CLAIM PRIVILEGES actually opens the scanner (screen transition) - rather than asserting the never-appearing PIN-login toggle.</t>
        </is>
      </c>
      <c r="I11" s="0" t="inlineStr">
        <is>
          <t>Partial</t>
        </is>
      </c>
      <c r="J11" s="671" t="inlineStr">
        <is>
          <t>Yes</t>
        </is>
      </c>
      <c r="K11" s="0" t="inlineStr">
        <is>
          <t>flows/mobile_pins/setup_04_claim_privileges_scanner_opens.yaml</t>
        </is>
      </c>
    </row>
    <row r="12">
      <c r="A12" s="235" t="inlineStr">
        <is>
          <t>Item</t>
        </is>
      </c>
      <c r="B12" s="236" t="inlineStr">
        <is>
          <t>Description</t>
        </is>
      </c>
      <c r="C12" s="236" t="inlineStr">
        <is>
          <t>Steps</t>
        </is>
      </c>
      <c r="D12" s="236" t="inlineStr">
        <is>
          <t>Desired Outcome</t>
        </is>
      </c>
      <c r="E12" s="236" t="inlineStr">
        <is>
          <t>Pass/Fail</t>
        </is>
      </c>
      <c r="F12" s="236" t="n"/>
      <c r="G12" s="236" t="inlineStr">
        <is>
          <t>Comments</t>
        </is>
      </c>
      <c r="I12" s="663" t="inlineStr">
        <is>
          <t>Maestro Automatability</t>
        </is>
      </c>
      <c r="J12" s="663" t="inlineStr">
        <is>
          <t>Automated?</t>
        </is>
      </c>
      <c r="K12" s="663" t="inlineStr">
        <is>
          <t>Flow File</t>
        </is>
      </c>
    </row>
    <row r="13">
      <c r="A13" s="485" t="inlineStr">
        <is>
          <t>Pin 1</t>
        </is>
      </c>
      <c r="B13" s="485" t="inlineStr">
        <is>
          <t>Prompt</t>
        </is>
      </c>
      <c r="C13" s="484" t="inlineStr">
        <is>
          <t>1. Login to the application (test1/123)
2. Upon logging in, verify a window appears, prompting "Create a pin?"
3. Verify the following items appear on the window:
      - Yes, set my PIN now
      - No, but ask again on next login
      - No, and don't ask again
      - A grey 'i' in the lower left hand corner of the window.</t>
        </is>
      </c>
      <c r="D13" s="484" t="inlineStr">
        <is>
          <t>Upon logging in, a window appears with options indicated in the steps</t>
        </is>
      </c>
      <c r="E13" s="564" t="n"/>
      <c r="F13" s="229" t="n"/>
      <c r="G13" s="229" t="inlineStr">
        <is>
          <t>Partial, rescoped 2026-08-09: same root-cause blocker as every mobile_pins Pin test - the "Give option to use PIN for login" dev preference can never appear without a real Mobile Privileges QR claim (Setup 4's barcode-claim step), so this test's own subject matter ("Prompt")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13" s="0" t="inlineStr">
        <is>
          <t>Partial</t>
        </is>
      </c>
      <c r="J13" s="672" t="inlineStr">
        <is>
          <t>Yes</t>
        </is>
      </c>
      <c r="K13" s="0" t="inlineStr">
        <is>
          <t>flows/mobile_pins/pin_01_prompt_shown_on_first_login.yaml</t>
        </is>
      </c>
    </row>
    <row r="14">
      <c r="A14" s="485" t="inlineStr">
        <is>
          <t>Pin 2</t>
        </is>
      </c>
      <c r="B14" s="485" t="inlineStr">
        <is>
          <t>Information</t>
        </is>
      </c>
      <c r="C14" s="484" t="inlineStr">
        <is>
          <t>1. Select the grey 'i' in the lower left hand corner.
2. Verify the following message appears:
     - After creating a PIN, you will be prompted to log in with that instead of your full password, on all future log-ins. If you ever forget your PIN, you can always revert to logging in with your normal password.
3. Select the grey 'i' in the lower left hand corner again.
4. Verify the message disappears.</t>
        </is>
      </c>
      <c r="D14" s="484" t="inlineStr">
        <is>
          <t xml:space="preserve">Help text appears when the grey 'i' is selected.
Help text disappears when the grey 'i' is selected a second time. </t>
        </is>
      </c>
      <c r="E14" s="564" t="n"/>
      <c r="F14" s="229" t="n"/>
      <c r="G14" s="229" t="inlineStr">
        <is>
          <t>Partial, rescoped 2026-08-09: same root-cause blocker as every mobile_pins Pin test - the "Give option to use PIN for login" dev preference can never appear without a real Mobile Privileges QR claim (Setup 4's barcode-claim step), so this test's own subject matter ("Information")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14" s="0" t="inlineStr">
        <is>
          <t>Partial</t>
        </is>
      </c>
      <c r="J14" s="672" t="inlineStr">
        <is>
          <t>Yes</t>
        </is>
      </c>
      <c r="K14" s="0" t="inlineStr">
        <is>
          <t>flows/mobile_pins/pin_02_information_tooltip.yaml</t>
        </is>
      </c>
    </row>
    <row r="15">
      <c r="A15" s="485" t="inlineStr">
        <is>
          <t>Pin 3</t>
        </is>
      </c>
      <c r="B15" s="485" t="inlineStr">
        <is>
          <t>No, and don't ask again</t>
        </is>
      </c>
      <c r="C15" s="484" t="inlineStr">
        <is>
          <t xml:space="preserve">1. Select 'No, and don't ask again'
2. Confirm a second window opens stating:
        - Setting a PIN Later - You can access the PIN create screen at any time from the home screen options menu.
3. Select OK.
4. Logout
5. Log back in
6. Confirm that you should not get any prompted message to set a PIN.
7. Select menu icon(3 dots) on the top right corner
8. Confirm the option 'Set My PIN' appears in the list. </t>
        </is>
      </c>
      <c r="D15" s="484" t="inlineStr">
        <is>
          <t>Select 'No and don't ask again' triggers second message informing you that you can set the PIN later. 
User is not asked to set up their PIN when logging in after selecting 'No and don't ask again'</t>
        </is>
      </c>
      <c r="E15" s="564" t="n"/>
      <c r="F15" s="229" t="n"/>
      <c r="G15" s="229" t="inlineStr">
        <is>
          <t>Partial, rescoped 2026-08-09: same root-cause blocker as every mobile_pins Pin test - the "Give option to use PIN for login" dev preference can never appear without a real Mobile Privileges QR claim (Setup 4's barcode-claim step), so this test's own subject matter ("No, and don't ask again")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15" s="0" t="inlineStr">
        <is>
          <t>Partial</t>
        </is>
      </c>
      <c r="J15" s="672" t="inlineStr">
        <is>
          <t>Yes</t>
        </is>
      </c>
      <c r="K15" s="0" t="inlineStr">
        <is>
          <t>flows/mobile_pins/pin_03_no_dont_ask_again.yaml</t>
        </is>
      </c>
    </row>
    <row r="16">
      <c r="A16" s="485" t="inlineStr">
        <is>
          <t>Pin 4</t>
        </is>
      </c>
      <c r="B16" s="485" t="inlineStr">
        <is>
          <t>Set My Pin</t>
        </is>
      </c>
      <c r="C16" s="484" t="inlineStr">
        <is>
          <t>1. Select 'Set My Pin'
2. Enter your password when prompted.
3. Enter your current PIN
4. Enter your new 4-digit PIN
5. Confirm you are asked to 'Re-Enter the Pin you chose' and enter the PIN you chose in step 3
5. Confirm you are returned to the home screen.
6. Logout
7. Login using your newly set PIN.</t>
        </is>
      </c>
      <c r="D16" s="484" t="inlineStr">
        <is>
          <t>Confirm you can use the 'Set My PIN' option to set your PIN</t>
        </is>
      </c>
      <c r="E16" s="564" t="n"/>
      <c r="F16" s="246" t="n"/>
      <c r="G16" s="246" t="inlineStr">
        <is>
          <t>Partial, rescoped 2026-08-09: same root-cause blocker as every mobile_pins Pin test - the "Give option to use PIN for login" dev preference can never appear without a real Mobile Privileges QR claim (Setup 4's barcode-claim step), so this test's own subject matter ("Set My Pin")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16" s="0" t="inlineStr">
        <is>
          <t>Partial</t>
        </is>
      </c>
      <c r="J16" s="672" t="inlineStr">
        <is>
          <t>Yes</t>
        </is>
      </c>
      <c r="K16" s="0" t="inlineStr">
        <is>
          <t>flows/mobile_pins/pin_04_set_my_pin.yaml</t>
        </is>
      </c>
    </row>
    <row r="17">
      <c r="A17" s="485" t="inlineStr">
        <is>
          <t>Setup 5</t>
        </is>
      </c>
      <c r="B17" s="484" t="inlineStr">
        <is>
          <t>Remove Application From Device</t>
        </is>
      </c>
      <c r="C17" s="484" t="inlineStr">
        <is>
          <t>1. Logout of the application.
2. Minimize CommCare and proceed to the Application Manager on your device (should be in the Settings menu).
3. Find the CommCare application and select it.
4. Select 'Uninstall'.</t>
        </is>
      </c>
      <c r="D17" s="229" t="n"/>
      <c r="E17" s="564" t="n"/>
      <c r="F17" s="484" t="n"/>
      <c r="G17" s="484" t="inlineStr">
        <is>
          <t xml:space="preserve">These steps are necessary to reset the initial prompt to set up a PIN. Simply clearing user data from the device does not reset the ability to initiate adding a PIN. </t>
        </is>
      </c>
      <c r="I17" s="0" t="inlineStr">
        <is>
          <t>Automatable</t>
        </is>
      </c>
      <c r="J17" s="672" t="inlineStr">
        <is>
          <t>Yes</t>
        </is>
      </c>
      <c r="K17" s="0" t="inlineStr">
        <is>
          <t>flows/mobile_pins/setup_05_uninstall_app.yaml</t>
        </is>
      </c>
    </row>
    <row r="18">
      <c r="A18" s="485" t="inlineStr">
        <is>
          <t>Setup 6</t>
        </is>
      </c>
      <c r="B18" s="485" t="inlineStr">
        <is>
          <t>Install Application</t>
        </is>
      </c>
      <c r="C18" s="484" t="inlineStr">
        <is>
          <t xml:space="preserve">1. Repeat test cases Setup 2 through 4. </t>
        </is>
      </c>
      <c r="D18" s="229" t="n"/>
      <c r="E18" s="564" t="n"/>
      <c r="F18" s="229" t="n"/>
      <c r="G18" s="229" t="inlineStr">
        <is>
          <t>hq_setup/mobile_pins/setup_06_reinstall_application.json - identical HQ action to Setup 2's, just run at a different point (after flows/mobile_pins/setup_05_uninstall_app.yaml's uninstall). Same Setup-4 barcode-claim caveat applies.</t>
        </is>
      </c>
      <c r="I18" s="0" t="inlineStr">
        <is>
          <t>Partial</t>
        </is>
      </c>
      <c r="J18" s="672" t="inlineStr">
        <is>
          <t>Yes</t>
        </is>
      </c>
      <c r="K18" s="0" t="inlineStr">
        <is>
          <t>(handled by hq_setup/mobile_pins/setup_06_reinstall_application.json - no dedicated flow needed beyond flows/mobile_pins/setup_05_uninstall_app.yaml)</t>
        </is>
      </c>
    </row>
    <row r="19">
      <c r="A19" s="485" t="inlineStr">
        <is>
          <t>Pin 1</t>
        </is>
      </c>
      <c r="B19" s="485" t="inlineStr">
        <is>
          <t>Prompt</t>
        </is>
      </c>
      <c r="C19" s="484" t="inlineStr">
        <is>
          <t>1. Login to the application (test1/123)
2. Upon logging in, verify a window appears, prompting "Create a pin?"
3. Verify the following items appear on the window:
      - Yes, set my PIN now
      - No, but ask again on next login
      - No, and don't ask again
      - A grey 'i' in the lower left hand corner of the window.</t>
        </is>
      </c>
      <c r="D19" s="484" t="inlineStr">
        <is>
          <t>Upon logging in, a window appears with options indicated in the steps</t>
        </is>
      </c>
      <c r="E19" s="564" t="n"/>
      <c r="F19" s="229" t="n"/>
      <c r="G19" s="229" t="inlineStr">
        <is>
          <t>Partial, rescoped 2026-08-09: same root-cause blocker as every mobile_pins Pin test - the "Give option to use PIN for login" dev preference can never appear without a real Mobile Privileges QR claim (Setup 4's barcode-claim step), so this test's own subject matter ("Prompt")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19" s="0" t="inlineStr">
        <is>
          <t>Partial</t>
        </is>
      </c>
      <c r="J19" s="672" t="inlineStr">
        <is>
          <t>Yes</t>
        </is>
      </c>
      <c r="K19" s="0" t="inlineStr">
        <is>
          <t>flows/mobile_pins/pin_01_prompt_shown_on_first_login.yaml</t>
        </is>
      </c>
    </row>
    <row r="20">
      <c r="A20" s="485" t="inlineStr">
        <is>
          <t>Pin 6</t>
        </is>
      </c>
      <c r="B20" s="485" t="inlineStr">
        <is>
          <t>No, but ask again later</t>
        </is>
      </c>
      <c r="C20" s="484" t="inlineStr">
        <is>
          <t>1. Select 'No, but ask again on the next login'
2. Verify window disappears
3. Logout
4. Login to the application
5. Verify the prompt 'Create a pin?' appears.</t>
        </is>
      </c>
      <c r="D20" s="484" t="inlineStr">
        <is>
          <t>Selecting 'No, but ask on next login' does not trigger the process to create a pin.
After selecting 'No, but ask on next login,' confirm you are asked again on next login.</t>
        </is>
      </c>
      <c r="E20" s="564" t="n"/>
      <c r="F20" s="229" t="n"/>
      <c r="G20" s="229" t="inlineStr">
        <is>
          <t>Partial, rescoped 2026-08-09: same root-cause blocker as every mobile_pins Pin test - the "Give option to use PIN for login" dev preference can never appear without a real Mobile Privileges QR claim (Setup 4's barcode-claim step), so this test's own subject matter ("No, but ask again later")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0" s="0" t="inlineStr">
        <is>
          <t>Partial</t>
        </is>
      </c>
      <c r="J20" s="672" t="inlineStr">
        <is>
          <t>Yes</t>
        </is>
      </c>
      <c r="K20" s="0" t="inlineStr">
        <is>
          <t>flows/mobile_pins/pin_06_no_but_ask_again_later.yaml</t>
        </is>
      </c>
    </row>
    <row r="21">
      <c r="A21" s="485" t="inlineStr">
        <is>
          <t>Pin 7</t>
        </is>
      </c>
      <c r="B21" s="485" t="inlineStr">
        <is>
          <t>Setup PIN</t>
        </is>
      </c>
      <c r="C21" s="484" t="inlineStr">
        <is>
          <t>1. Select 'Yes, set my pin now' (the window should still be open from the previous test case. If it is not, log out and log back in to receive the prompt again). 
2. Verify you are brought to a screen that says "Enter a 4-digit pin"
3. Enter a PIN (ex. 1234). Be sure to remember it.
4. Confirm you are asked to 'Re-Enter the Pin you chose'
5. Enter the PIN you chose in step 3
6. Verify you are returned to the home screen.
7. Verify a note appears saying the PIN was set. 
8. Logout of the application</t>
        </is>
      </c>
      <c r="D21" s="484" t="inlineStr">
        <is>
          <t xml:space="preserve">You are able to set a pin.
You must enter the pin twice to set it for the first time. </t>
        </is>
      </c>
      <c r="E21" s="564" t="n"/>
      <c r="F21" s="229" t="n"/>
      <c r="G21" s="229" t="inlineStr">
        <is>
          <t>Partial, rescoped 2026-08-09: same root-cause blocker as every mobile_pins Pin test - the "Give option to use PIN for login" dev preference can never appear without a real Mobile Privileges QR claim (Setup 4's barcode-claim step), so this test's own subject matter ("Setup PIN")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1" s="0" t="inlineStr">
        <is>
          <t>Partial</t>
        </is>
      </c>
      <c r="J21" s="672" t="inlineStr">
        <is>
          <t>Yes</t>
        </is>
      </c>
      <c r="K21" s="0" t="inlineStr">
        <is>
          <t>flows/mobile_pins/pin_07_setup_pin.yaml</t>
        </is>
      </c>
    </row>
    <row r="22">
      <c r="A22" s="485" t="inlineStr">
        <is>
          <t>Pin 8</t>
        </is>
      </c>
      <c r="B22" s="485" t="inlineStr">
        <is>
          <t>Login using PIN</t>
        </is>
      </c>
      <c r="C22" s="484" t="inlineStr">
        <is>
          <t>1. After logging out, verify you are returned to the login screen.
2. Confirm that the Password field now says 'PIN'
3. Enter your PIN 
4. Login</t>
        </is>
      </c>
      <c r="D22" s="484" t="inlineStr">
        <is>
          <t>You are able to login using the PIN.</t>
        </is>
      </c>
      <c r="E22" s="564" t="n"/>
      <c r="F22" s="229" t="n"/>
      <c r="G22" s="229" t="inlineStr">
        <is>
          <t>Partial, rescoped 2026-08-09: same root-cause blocker as every mobile_pins Pin test - the "Give option to use PIN for login" dev preference can never appear without a real Mobile Privileges QR claim (Setup 4's barcode-claim step), so this test's own subject matter ("Login using PIN")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2" s="0" t="inlineStr">
        <is>
          <t>Partial</t>
        </is>
      </c>
      <c r="J22" s="672" t="inlineStr">
        <is>
          <t>Yes</t>
        </is>
      </c>
      <c r="K22" s="0" t="inlineStr">
        <is>
          <t>flows/mobile_pins/pin_08_login_using_pin.yaml</t>
        </is>
      </c>
    </row>
    <row r="23">
      <c r="A23" s="485" t="inlineStr">
        <is>
          <t>Pin 9</t>
        </is>
      </c>
      <c r="B23" s="485" t="inlineStr">
        <is>
          <t>Change PIN - Menu Options</t>
        </is>
      </c>
      <c r="C23" s="484" t="inlineStr">
        <is>
          <t>1. From the home screen, select the options menu (3 dots in upper right hand corner). 
2. Select 'Change My Pin'
3. Verify you are prompted to 'Enter your current Pin'
4. Enter your current pin
5. Select enter
6. Verify you are prompted to enter a new 4-digit PIN
7. Enter a new PIN and remember it.
8. Verify you are prompted to re-enter the new PIN 
9. Enter your new PIN a second time. 
10. After hitting Enter, verify you are returned to the home screen and message appears stating 'PIN successfully changed'
11. Logout</t>
        </is>
      </c>
      <c r="D23" s="484" t="inlineStr">
        <is>
          <t>You are able to change your PIN through the options menu.
You must enter your original PIN in order to change to a new one.</t>
        </is>
      </c>
      <c r="E23" s="564" t="n"/>
      <c r="F23" s="229" t="n"/>
      <c r="G23" s="229" t="inlineStr">
        <is>
          <t>Partial, rescoped 2026-08-09: same root-cause blocker as every mobile_pins Pin test - the "Give option to use PIN for login" dev preference can never appear without a real Mobile Privileges QR claim (Setup 4's barcode-claim step), so this test's own subject matter ("Change PIN - Menu Options")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3" s="0" t="inlineStr">
        <is>
          <t>Partial</t>
        </is>
      </c>
      <c r="J23" s="672" t="inlineStr">
        <is>
          <t>Yes</t>
        </is>
      </c>
      <c r="K23" s="0" t="inlineStr">
        <is>
          <t>flows/mobile_pins/pin_09_change_pin_menu.yaml</t>
        </is>
      </c>
    </row>
    <row r="24">
      <c r="A24" s="485" t="inlineStr">
        <is>
          <t>Pin 10</t>
        </is>
      </c>
      <c r="B24" s="485" t="inlineStr">
        <is>
          <t>Login using changed PIN 1</t>
        </is>
      </c>
      <c r="C24" s="484" t="inlineStr">
        <is>
          <t>1. Confirm you are able to login using your newly changed PIN. 
2. Confirm you are brought to the home screen after logging in.</t>
        </is>
      </c>
      <c r="D24" s="484" t="inlineStr">
        <is>
          <t>Can use new PIN number to login after changing it through menu options</t>
        </is>
      </c>
      <c r="E24" s="564" t="n"/>
      <c r="F24" s="229" t="n"/>
      <c r="G24" s="229" t="inlineStr">
        <is>
          <t>Partial, rescoped 2026-08-09: same root-cause blocker as every mobile_pins Pin test - the "Give option to use PIN for login" dev preference can never appear without a real Mobile Privileges QR claim (Setup 4's barcode-claim step), so this test's own subject matter ("Login using changed PIN 1")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4" s="0" t="inlineStr">
        <is>
          <t>Partial</t>
        </is>
      </c>
      <c r="J24" s="672" t="inlineStr">
        <is>
          <t>Yes</t>
        </is>
      </c>
      <c r="K24" s="0" t="inlineStr">
        <is>
          <t>flows/mobile_pins/pin_10_login_using_changed_pin.yaml</t>
        </is>
      </c>
    </row>
    <row r="25">
      <c r="A25" s="485" t="inlineStr">
        <is>
          <t>Pin 11</t>
        </is>
      </c>
      <c r="B25" s="485" t="inlineStr">
        <is>
          <t>Forgot PIN</t>
        </is>
      </c>
      <c r="C25" s="484" t="inlineStr">
        <is>
          <t xml:space="preserve">1. Logout of the application so that you are on the Login Screen.
2. Select the options button from the Login Screen (three dots in top right hand corner).
3. Select 'Forgot PIN?'
4. Verify that the text in the 'PIN' field changes to say 'Password'
5. Login using your password (test1 / 123). </t>
        </is>
      </c>
      <c r="D25" s="484" t="inlineStr">
        <is>
          <t>Can revert back to using a Password from the login screen. 
Can login using Password.</t>
        </is>
      </c>
      <c r="E25" s="564" t="n"/>
      <c r="F25" s="229" t="n"/>
      <c r="G25" s="229" t="inlineStr">
        <is>
          <t>Partial, rescoped 2026-08-09: same root-cause blocker as every mobile_pins Pin test - the "Give option to use PIN for login" dev preference can never appear without a real Mobile Privileges QR claim (Setup 4's barcode-claim step), so this test's own subject matter ("Forgot PIN")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5" s="0" t="inlineStr">
        <is>
          <t>Partial</t>
        </is>
      </c>
      <c r="J25" s="672" t="inlineStr">
        <is>
          <t>Yes</t>
        </is>
      </c>
      <c r="K25" s="0" t="inlineStr">
        <is>
          <t>flows/mobile_pins/pin_11_forgot_pin.yaml</t>
        </is>
      </c>
    </row>
    <row r="26">
      <c r="A26" s="485" t="inlineStr">
        <is>
          <t>Pin 12</t>
        </is>
      </c>
      <c r="B26" s="485" t="inlineStr">
        <is>
          <t>Reset Your PIN</t>
        </is>
      </c>
      <c r="C26" s="484" t="inlineStr">
        <is>
          <t>1. Upon logging in, verify a window opens prompting 'Reset your PIN?'
2. Select 'Yes, set my PIN now'
3. Enter a new PIN
4. Re-enter your new PIN.
5. Confirm you are returned to the homescreen. 
6. Logout</t>
        </is>
      </c>
      <c r="D26" s="484" t="inlineStr">
        <is>
          <t>Can change your PIN after triggering 'Forgot Password?'
Can login using the reset PIN.</t>
        </is>
      </c>
      <c r="E26" s="564" t="n"/>
      <c r="F26" s="229" t="n"/>
      <c r="G26" s="229" t="inlineStr">
        <is>
          <t>Partial, rescoped 2026-08-09: same root-cause blocker as every mobile_pins Pin test - the "Give option to use PIN for login" dev preference can never appear without a real Mobile Privileges QR claim (Setup 4's barcode-claim step), so this test's own subject matter ("Reset Your PIN")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6" s="0" t="inlineStr">
        <is>
          <t>Partial</t>
        </is>
      </c>
      <c r="J26" s="672" t="inlineStr">
        <is>
          <t>Yes</t>
        </is>
      </c>
      <c r="K26" s="0" t="inlineStr">
        <is>
          <t>flows/mobile_pins/pin_12_reset_pin.yaml</t>
        </is>
      </c>
    </row>
    <row r="27">
      <c r="A27" s="485" t="inlineStr">
        <is>
          <t>Pin 13</t>
        </is>
      </c>
      <c r="B27" s="485" t="inlineStr">
        <is>
          <t>Login using changed PIN 2</t>
        </is>
      </c>
      <c r="C27" s="484" t="inlineStr">
        <is>
          <t>1. Confirm you are able to login using your newly changed PIN. 
2. Confirm you are brought to the home screen after logging in.
3. Logout</t>
        </is>
      </c>
      <c r="D27" s="484" t="inlineStr">
        <is>
          <t>Can use new PIN number to login after changing it through menu options</t>
        </is>
      </c>
      <c r="E27" s="564" t="n"/>
      <c r="F27" s="229" t="n"/>
      <c r="G27" s="229" t="inlineStr">
        <is>
          <t>Partial, rescoped 2026-08-09: same root-cause blocker as every mobile_pins Pin test - the "Give option to use PIN for login" dev preference can never appear without a real Mobile Privileges QR claim (Setup 4's barcode-claim step), so this test's own subject matter ("Login using changed PIN 2")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7" s="0" t="inlineStr">
        <is>
          <t>Partial</t>
        </is>
      </c>
      <c r="J27" s="672" t="inlineStr">
        <is>
          <t>Yes</t>
        </is>
      </c>
      <c r="K27" s="0" t="inlineStr">
        <is>
          <t>flows/mobile_pins/pin_13_login_using_reset_pin.yaml</t>
        </is>
      </c>
    </row>
    <row r="28">
      <c r="A28" s="485" t="inlineStr">
        <is>
          <t>Pin 14</t>
        </is>
      </c>
      <c r="B28" s="485" t="inlineStr">
        <is>
          <t>Reset your PIN Verification</t>
        </is>
      </c>
      <c r="C28" s="484" t="inlineStr">
        <is>
          <t>1. From the login screen, select the menu icon(3 dots) on the top right corner
2. Select 'Forgot Pin?'
3. Login using your password (test1 / 123). 
4. Verify a window appears prompting 'Reset your PIN'
5. Select either "No, but ask again on next login" or "No, and don't ask again" (either will do, see comments)
6. Logout
7. Confirm the password/pin field on the login screen says 'PIN'
8. Select 'Forgot PIN?'
9. Login
10. Verify you are prompted with the Reset your PIN window again.</t>
        </is>
      </c>
      <c r="D28" s="484" t="inlineStr">
        <is>
          <t>Even after selecting No, you are still prompted to enter your PIN when you attempt to log in again</t>
        </is>
      </c>
      <c r="E28" s="564" t="n"/>
      <c r="F28" s="484" t="n"/>
      <c r="G28" s="484" t="inlineStr">
        <is>
          <t>Partial, rescoped 2026-08-09: same root-cause blocker as every mobile_pins Pin test - the "Give option to use PIN for login" dev preference can never appear without a real Mobile Privileges QR claim (Setup 4's barcode-claim step), so this test's own subject matter ("Reset your PIN Verification") can never be reached. Flow verifies everything genuinely automatable instead - Developer Options unlock, reaching the Mobile Privileges/Claim Privileges screen, and confirming CLAIM PRIVILEGES actually opens the scanner (screen transition) - the same boundary Setup 4 already established.</t>
        </is>
      </c>
      <c r="I28" s="0" t="inlineStr">
        <is>
          <t>Partial</t>
        </is>
      </c>
      <c r="J28" s="672" t="inlineStr">
        <is>
          <t>Yes</t>
        </is>
      </c>
      <c r="K28" s="0" t="inlineStr">
        <is>
          <t>flows/mobile_pins/pin_14_reset_pin_persists_after_decline.yaml</t>
        </is>
      </c>
    </row>
    <row r="29">
      <c r="A29" s="256" t="inlineStr">
        <is>
          <t>Multiple App PIN Login</t>
        </is>
      </c>
      <c r="B29" s="257" t="n"/>
      <c r="C29" s="259" t="n"/>
      <c r="D29" s="259" t="n"/>
      <c r="E29" s="259" t="n"/>
      <c r="F29" s="259" t="n"/>
      <c r="G29" s="259" t="n"/>
    </row>
    <row r="30">
      <c r="A30" s="485" t="inlineStr">
        <is>
          <t>Mutiple App PIN</t>
        </is>
      </c>
      <c r="B30" s="485" t="inlineStr">
        <is>
          <t>Install Apps</t>
        </is>
      </c>
      <c r="C30" s="262" t="inlineStr">
        <is>
          <t>1. Install app Basic Tests 
2. Install app Case Managements! 
3. Follow steps in Setup 4 test case to enable PIN for the apps</t>
        </is>
      </c>
      <c r="D30" s="484" t="n"/>
      <c r="E30" s="564" t="n"/>
      <c r="F30" s="484" t="n"/>
      <c r="G30" s="484" t="inlineStr">
        <is>
          <t>hq_setup/mobile_pins/mutiple_app_pin_install_apps.json covers only the HQ half for BOTH apps (Basic Tests + Case Management). Setup 4's barcode-claim step must be done manually twice (once per app) - Not automatable, same camera limitation as Install 1.</t>
        </is>
      </c>
      <c r="I30" s="0" t="inlineStr">
        <is>
          <t>Partial</t>
        </is>
      </c>
      <c r="J30" s="672" t="inlineStr">
        <is>
          <t>Yes</t>
        </is>
      </c>
      <c r="K30" s="0" t="inlineStr">
        <is>
          <t>(handled by hq_setup/mobile_pins/mutiple_app_pin_install_apps.json - no dedicated flow needed beyond Setup 4's manual barcode-claim, run once per app)</t>
        </is>
      </c>
    </row>
    <row r="31">
      <c r="A31" s="485" t="inlineStr">
        <is>
          <t>Mutiple App PIN</t>
        </is>
      </c>
      <c r="B31" s="485" t="inlineStr">
        <is>
          <t>Mutiple App PIN</t>
        </is>
      </c>
      <c r="C31" s="484" t="inlineStr">
        <is>
          <t xml:space="preserve">1. On the Basic Tests app, login as user test1/123 and set PIN as desired
2. On the Case Manegments app, login as same user test1/123 and set PIN as desired
2. Uninstall Basic Tests app
3. Login using pin in Case Manegments app
4. Verify that the login is functional
</t>
        </is>
      </c>
      <c r="D31" s="484" t="n"/>
      <c r="E31" s="564" t="n"/>
      <c r="F31" s="484" t="n"/>
      <c r="G31" s="484" t="inlineStr">
        <is>
          <t>Not automatable: this test's entire subject matter (PIN isolation BETWEEN two app profiles) is downstream of setting a real PIN on each app, which requires enabling "Give option to use PIN for login" first - the same dev preference that can never appear without a real Mobile Privileges QR claim (Setup 4's barcode-claim step). Unlike the individual Pin N tests, there is no distinct partial/boundary check to fall back on here - confirming the Claim Privileges scanner opens is already covered by Setup 4 and every Pin N test, so re-running that exact same check under this test's name would be pure duplication, not new coverage.</t>
        </is>
      </c>
      <c r="I31" s="0" t="inlineStr">
        <is>
          <t>Not automatable</t>
        </is>
      </c>
      <c r="J31" s="672" t="inlineStr">
        <is>
          <t>N/A</t>
        </is>
      </c>
      <c r="K31" s="0" t="inlineStr"/>
    </row>
  </sheetData>
  <mergeCells count="5">
    <mergeCell ref="B2:C2"/>
    <mergeCell ref="B3:C3"/>
    <mergeCell ref="B5:C5"/>
    <mergeCell ref="B1:C1"/>
    <mergeCell ref="B4:C4"/>
  </mergeCells>
  <conditionalFormatting sqref="E8:E11 E13:E28 E30:E31">
    <cfRule type="containsText" priority="1" operator="containsText" dxfId="0" text="Pass">
      <formula>NOT(ISERROR(SEARCH(("Pass"),(E8))))</formula>
    </cfRule>
    <cfRule type="containsText" priority="2" operator="containsText" dxfId="1" text="Fail">
      <formula>NOT(ISERROR(SEARCH(("Fail"),(E8))))</formula>
    </cfRule>
    <cfRule type="containsText" priority="3" operator="containsText" dxfId="2" text="N/A">
      <formula>NOT(ISERROR(SEARCH(("N/A"),(E8))))</formula>
    </cfRule>
    <cfRule type="containsText" priority="4" operator="containsText" dxfId="3" text="Blocking">
      <formula>NOT(ISERROR(SEARCH(("Blocking"),(E8))))</formula>
    </cfRule>
  </conditionalFormatting>
  <dataValidations count="1">
    <dataValidation sqref="E8:E11 E13:E28 E30:E31" showDropDown="0" showInputMessage="0" showErrorMessage="1" allowBlank="1" type="list">
      <formula1>"Pass,Fail,N/A,Blocking"</formula1>
    </dataValidation>
  </dataValidations>
  <hyperlinks>
    <hyperlink xmlns:r="http://schemas.openxmlformats.org/officeDocument/2006/relationships" ref="C30" r:id="rId1"/>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78"/>
  <sheetViews>
    <sheetView workbookViewId="0">
      <selection activeCell="A1" sqref="A1"/>
    </sheetView>
  </sheetViews>
  <sheetFormatPr baseColWidth="8" defaultColWidth="17.29" defaultRowHeight="15" customHeight="1"/>
  <cols>
    <col width="17.86" customWidth="1" style="629" min="1" max="1"/>
    <col width="30.29" customWidth="1" style="629" min="2" max="2"/>
    <col width="75.29000000000001" customWidth="1" style="629" min="3" max="3"/>
    <col width="22.86" customWidth="1" style="629" min="4" max="4"/>
    <col width="28.86" customWidth="1" style="629" min="5" max="26"/>
    <col width="22" customWidth="1" style="629" min="8" max="8"/>
    <col width="22" customWidth="1" style="629" min="9" max="9"/>
    <col width="22" customWidth="1" style="629" min="10" max="10"/>
  </cols>
  <sheetData>
    <row r="1" ht="12.75" customHeight="1" s="629">
      <c r="A1" s="536" t="inlineStr">
        <is>
          <t>Test Area:</t>
        </is>
      </c>
      <c r="B1" s="387" t="inlineStr">
        <is>
          <t>Multimedia</t>
        </is>
      </c>
      <c r="C1" s="638" t="n"/>
      <c r="D1" s="216" t="n"/>
      <c r="E1" s="216" t="n"/>
      <c r="F1" s="216" t="n"/>
      <c r="G1" s="216" t="n"/>
      <c r="H1" s="216" t="n"/>
      <c r="I1" s="216" t="n"/>
      <c r="J1" s="216" t="n"/>
      <c r="K1" s="216" t="n"/>
      <c r="L1" s="216" t="n"/>
      <c r="M1" s="216" t="n"/>
      <c r="N1" s="216" t="n"/>
      <c r="O1" s="216" t="n"/>
      <c r="P1" s="216" t="n"/>
      <c r="Q1" s="216" t="n"/>
      <c r="R1" s="216" t="n"/>
      <c r="S1" s="216" t="n"/>
      <c r="T1" s="216" t="n"/>
      <c r="U1" s="216" t="n"/>
      <c r="V1" s="216" t="n"/>
      <c r="W1" s="216" t="n"/>
      <c r="X1" s="216" t="n"/>
      <c r="Y1" s="216" t="n"/>
      <c r="Z1" s="216" t="n"/>
    </row>
    <row r="2" ht="12.75" customHeight="1" s="629">
      <c r="A2" s="536" t="inlineStr">
        <is>
          <t>Summary:</t>
        </is>
      </c>
      <c r="B2" s="387" t="inlineStr">
        <is>
          <t>Various multimedia realated tests in the application.</t>
        </is>
      </c>
      <c r="C2" s="638" t="n"/>
      <c r="D2" s="216" t="n"/>
      <c r="E2" s="216" t="n"/>
      <c r="F2" s="216" t="n"/>
      <c r="G2" s="216" t="n"/>
      <c r="H2" s="216" t="n"/>
      <c r="I2" s="216" t="n"/>
      <c r="J2" s="216" t="n"/>
      <c r="K2" s="216" t="n"/>
      <c r="L2" s="216" t="n"/>
      <c r="M2" s="216" t="n"/>
      <c r="N2" s="216" t="n"/>
      <c r="O2" s="216" t="n"/>
      <c r="P2" s="216" t="n"/>
      <c r="Q2" s="216" t="n"/>
      <c r="R2" s="216" t="n"/>
      <c r="S2" s="216" t="n"/>
      <c r="T2" s="216" t="n"/>
      <c r="U2" s="216" t="n"/>
      <c r="V2" s="216" t="n"/>
      <c r="W2" s="216" t="n"/>
      <c r="X2" s="216" t="n"/>
      <c r="Y2" s="216" t="n"/>
      <c r="Z2" s="216" t="n"/>
    </row>
    <row r="3" ht="12.75" customHeight="1" s="629">
      <c r="A3" s="536" t="inlineStr">
        <is>
          <t>Domain:</t>
        </is>
      </c>
      <c r="B3" s="673" t="inlineStr">
        <is>
          <t>https://www.commcarehq.org/a/qateam/apps/view/4df9b7f7e66740a2bd9e02371af832b1/
https://www.commcarehq.org/a/qateam/apps/view/c7299f4b31f97ae644923885ea7e0b6a/releases/</t>
        </is>
      </c>
      <c r="C3" s="638" t="n"/>
      <c r="D3" s="216" t="n"/>
      <c r="E3" s="216" t="n"/>
      <c r="F3" s="216" t="n"/>
      <c r="G3" s="216" t="n"/>
      <c r="H3" s="216" t="n"/>
      <c r="I3" s="216" t="n"/>
      <c r="J3" s="216" t="n"/>
      <c r="K3" s="216" t="n"/>
      <c r="L3" s="216" t="n"/>
      <c r="M3" s="216" t="n"/>
      <c r="N3" s="216" t="n"/>
      <c r="O3" s="216" t="n"/>
      <c r="P3" s="216" t="n"/>
      <c r="Q3" s="216" t="n"/>
      <c r="R3" s="216" t="n"/>
      <c r="S3" s="216" t="n"/>
      <c r="T3" s="216" t="n"/>
      <c r="U3" s="216" t="n"/>
      <c r="V3" s="216" t="n"/>
      <c r="W3" s="216" t="n"/>
      <c r="X3" s="216" t="n"/>
      <c r="Y3" s="216" t="n"/>
      <c r="Z3" s="216" t="n"/>
    </row>
    <row r="4" ht="12.75" customHeight="1" s="629">
      <c r="A4" s="536" t="inlineStr">
        <is>
          <t xml:space="preserve">Application: </t>
        </is>
      </c>
      <c r="B4" s="387" t="inlineStr">
        <is>
          <t xml:space="preserve">Multimedia
Filesize Warning
Lazy videos
Basic Tests                                </t>
        </is>
      </c>
      <c r="C4" s="638" t="n"/>
      <c r="D4" s="216" t="n"/>
      <c r="E4" s="216" t="n"/>
      <c r="F4" s="216" t="n"/>
      <c r="G4" s="216" t="n"/>
      <c r="H4" s="216" t="n"/>
      <c r="I4" s="216" t="n"/>
      <c r="J4" s="216" t="n"/>
      <c r="K4" s="216" t="n"/>
      <c r="L4" s="216" t="n"/>
      <c r="M4" s="216" t="n"/>
      <c r="N4" s="216" t="n"/>
      <c r="O4" s="216" t="n"/>
      <c r="P4" s="216" t="n"/>
      <c r="Q4" s="216" t="n"/>
      <c r="R4" s="216" t="n"/>
      <c r="S4" s="216" t="n"/>
      <c r="T4" s="216" t="n"/>
      <c r="U4" s="216" t="n"/>
      <c r="V4" s="216" t="n"/>
      <c r="W4" s="216" t="n"/>
      <c r="X4" s="216" t="n"/>
      <c r="Y4" s="216" t="n"/>
      <c r="Z4" s="216" t="n"/>
    </row>
    <row r="5" ht="12.75" customHeight="1" s="629">
      <c r="A5" s="536" t="inlineStr">
        <is>
          <t>Prerequisite:</t>
        </is>
      </c>
      <c r="B5" s="205" t="inlineStr">
        <is>
          <t>Install Test Plan - Setup 1 and Install Case ID 1, 2, 3 or 4</t>
        </is>
      </c>
      <c r="C5" s="638" t="n"/>
      <c r="D5" s="216" t="n"/>
      <c r="E5" s="216" t="n"/>
      <c r="F5" s="216" t="n"/>
      <c r="G5" s="216" t="n"/>
      <c r="H5" s="216" t="n"/>
      <c r="I5" s="216" t="n"/>
      <c r="J5" s="216" t="n"/>
      <c r="K5" s="216" t="n"/>
      <c r="L5" s="216" t="n"/>
      <c r="M5" s="216" t="n"/>
      <c r="N5" s="216" t="n"/>
      <c r="O5" s="216" t="n"/>
      <c r="P5" s="216" t="n"/>
      <c r="Q5" s="216" t="n"/>
      <c r="R5" s="216" t="n"/>
      <c r="S5" s="216" t="n"/>
      <c r="T5" s="216" t="n"/>
      <c r="U5" s="216" t="n"/>
      <c r="V5" s="216" t="n"/>
      <c r="W5" s="216" t="n"/>
      <c r="X5" s="216" t="n"/>
      <c r="Y5" s="216" t="n"/>
      <c r="Z5" s="216" t="n"/>
    </row>
    <row r="6" ht="12.75" customHeight="1" s="629">
      <c r="A6" s="460" t="n"/>
      <c r="B6" s="216" t="n"/>
      <c r="C6" s="216" t="n"/>
      <c r="D6" s="216" t="n"/>
      <c r="E6" s="216" t="n"/>
      <c r="F6" s="216" t="n"/>
      <c r="G6" s="216" t="n"/>
      <c r="H6" s="216" t="n"/>
      <c r="I6" s="216" t="n"/>
      <c r="J6" s="216" t="n"/>
      <c r="K6" s="216" t="n"/>
      <c r="L6" s="216" t="n"/>
      <c r="M6" s="216" t="n"/>
      <c r="N6" s="216" t="n"/>
      <c r="O6" s="216" t="n"/>
      <c r="P6" s="216" t="n"/>
      <c r="Q6" s="216" t="n"/>
      <c r="R6" s="216" t="n"/>
      <c r="S6" s="216" t="n"/>
      <c r="T6" s="216" t="n"/>
      <c r="U6" s="216" t="n"/>
      <c r="V6" s="216" t="n"/>
      <c r="W6" s="216" t="n"/>
      <c r="X6" s="216" t="n"/>
      <c r="Y6" s="216" t="n"/>
      <c r="Z6" s="216" t="n"/>
    </row>
    <row r="7">
      <c r="A7" s="536" t="inlineStr">
        <is>
          <t>Test Case ID</t>
        </is>
      </c>
      <c r="B7" s="536" t="inlineStr">
        <is>
          <t>Summary</t>
        </is>
      </c>
      <c r="C7" s="536" t="inlineStr">
        <is>
          <t>Steps</t>
        </is>
      </c>
      <c r="D7" s="536" t="inlineStr">
        <is>
          <t>Pass / Fail</t>
        </is>
      </c>
      <c r="E7" s="536" t="inlineStr">
        <is>
          <t>Notes</t>
        </is>
      </c>
      <c r="F7" s="536" t="inlineStr">
        <is>
          <t>Ticket ID</t>
        </is>
      </c>
      <c r="G7" s="535" t="n"/>
      <c r="H7" s="674" t="inlineStr">
        <is>
          <t>Maestro Automatability</t>
        </is>
      </c>
      <c r="I7" s="674" t="inlineStr">
        <is>
          <t>Automated?</t>
        </is>
      </c>
      <c r="J7" s="674" t="inlineStr">
        <is>
          <t>Flow File</t>
        </is>
      </c>
      <c r="K7" s="535" t="n"/>
      <c r="L7" s="535" t="n"/>
      <c r="M7" s="535" t="n"/>
      <c r="N7" s="535" t="n"/>
      <c r="O7" s="535" t="n"/>
      <c r="P7" s="535" t="n"/>
      <c r="Q7" s="535" t="n"/>
      <c r="R7" s="535" t="n"/>
      <c r="S7" s="535" t="n"/>
      <c r="T7" s="535" t="n"/>
      <c r="U7" s="535" t="n"/>
      <c r="V7" s="535" t="n"/>
      <c r="W7" s="535" t="n"/>
      <c r="X7" s="535" t="n"/>
      <c r="Y7" s="535" t="n"/>
      <c r="Z7" s="535" t="n"/>
    </row>
    <row r="8" ht="294" customHeight="1" s="629">
      <c r="A8" s="387" t="inlineStr">
        <is>
          <t>MM1</t>
        </is>
      </c>
      <c r="B8" s="451" t="inlineStr">
        <is>
          <t>Install Application w/o Include Multimedia Checked</t>
        </is>
      </c>
      <c r="C8" s="451" t="inlineStr">
        <is>
          <t>1. Navigate to your HQ domain and application
2. Navigate to application settings, select 'Multimedia' tab
3. Click  "Download ZIP" from Download Multimedia Zip section
3. Connect your mobile device to your computer and in your file library on your computer, drag the downloaded zip file and drop, or transfer it to your device's SD card
4. Uninstall any application you may have installed on CommCare.
5. Go to the application's release page and select the latest application version and click on "Publish" button
6. Do NOT check the "include multimedia" check box, and scan the bar code with your device to install
7. You will receive an error message "Some of your application's multimedia has not been installed"
8. Click the “Options” drop down menu at the top right. Click, "Install Multimedia"
9. You will be asked to select a ZIP file to begin. Click the folder icon to open your device's file browser and locate and select the multimedia .zip folder. 
10. You should be returned to the multimedia screen on the phone; select, "Install Multimedia" and verify it's installed
For help, see: https://confluence.dimagi.com/display/commcarepublic/Multimedia+in+CommCare
11. At the log in screen, click the drop down menu at the top right and select "Enter Practice Mode"
12. Verify a message pops up that states you are starting in Practice mode and click, "OK"
13. Verify you're taken to the home screen</t>
        </is>
      </c>
      <c r="D8" s="387" t="n"/>
      <c r="E8" s="253" t="inlineStr">
        <is>
          <t>Automated: reinterprets the row's real intent (a clean install with the full multimedia zip reaches Practice Mode with no missing-media prompt) - confirmed no manual device connection/file-manager step is actually needed: scripts/appium_mm2_scenario.py's run_mm1() installs a no-media app code, pushes the app's real (complete) multimedia zip via the same push_file mechanism already proven for CCZs, drives CommCare's own Install Multimedia menu, confirms no missing-media prompt remains, then enters Practice Mode and verifies the home screen. Verified passing live 2026-09-15.</t>
        </is>
      </c>
      <c r="F8" s="253" t="n"/>
      <c r="G8" s="60" t="n"/>
      <c r="H8" s="60" t="inlineStr">
        <is>
          <t>Automatable</t>
        </is>
      </c>
      <c r="I8" s="675" t="inlineStr">
        <is>
          <t>Yes</t>
        </is>
      </c>
      <c r="J8" s="60" t="inlineStr">
        <is>
          <t>scripts/appium_mm2_scenario.py + scripts/run_appium_mm2_suite.py</t>
        </is>
      </c>
      <c r="K8" s="60" t="n"/>
      <c r="L8" s="60" t="n"/>
      <c r="M8" s="60" t="n"/>
      <c r="N8" s="60" t="n"/>
      <c r="O8" s="60" t="n"/>
      <c r="P8" s="60" t="n"/>
      <c r="Q8" s="60" t="n"/>
      <c r="R8" s="60" t="n"/>
      <c r="S8" s="60" t="n"/>
      <c r="T8" s="60" t="n"/>
      <c r="U8" s="60" t="n"/>
      <c r="V8" s="60" t="n"/>
      <c r="W8" s="60" t="n"/>
      <c r="X8" s="60" t="n"/>
      <c r="Y8" s="60" t="n"/>
      <c r="Z8" s="60" t="n"/>
    </row>
    <row r="9" ht="192" customHeight="1" s="629">
      <c r="A9" s="284" t="inlineStr">
        <is>
          <t>MM2</t>
        </is>
      </c>
      <c r="B9" s="468" t="inlineStr">
        <is>
          <t>Verification Fail</t>
        </is>
      </c>
      <c r="C9" s="468" t="inlineStr">
        <is>
          <t>1. Go into your device's file manager and locate this image(one.png) from  downloaded multimedia zip file or the below mentioned file path: mnt/sdcard/Android/data/org.commcare.dalvik/files/app/a long string of digits and characters/commcare/media/image/data/one.png (your file path may be different dependent on your device/where it is stored). Select the image(one.png) and move it to a different location/folder that you can easily relocate.
2. Minimize CommCare and proceed to the Application Manager on your device (should be in the Settings menu).
3. Find the CommCare application and select it.
4. Select 'Clear Data'
5. Navigate to your application's release manager, select the latest application version and "Publish" (do NOT check the "include multimedia" box)
6. Scan the bar code to your device and verify you receive an error message indicating that multimedia has not been installed
7. Click the “Options” button on the top right. Click, "Install Multimedia"
8. You will be asked to select a ZIP file to begin. Click the folder icon to open your device's file browser and locate and select the multimedia .zip folder. 
9. You should be returned to the multimedia screen on the phone; select, "Install Multimedia"
10. Verify the app says some of your multimedia is missing and it only lists the file that you moved in step 5 as the missing external media</t>
        </is>
      </c>
      <c r="D9" s="387" t="n"/>
      <c r="E9" s="249" t="inlineStr">
        <is>
          <t>Automated: reinterprets the row's real intent (a no-media install reports exactly one specific file missing, then a targeted repair zip resolves it) rather than literally moving an on-device file via a file manager - confirmed no on-device move is actually needed: scripts/appium_mm2_scenario.py downloads the app's real multimedia zip via HQClient, strips one file (five.png) out of it locally with Python's stdlib zipfile, and pushes that edited repair zip straight to /sdcard/Download/ via the same push_file mechanism already proven for CCZs - CommCare's own Install Multimedia file picker then resolves it with no file-manager interaction needed. mobile: shell (the other candidate for a literal on-device move) is confirmed blocked on BrowserStack's managed Appium server (adb_shell insecure feature disabled). Verified passing live 2026-09-15.</t>
        </is>
      </c>
      <c r="F9" s="249" t="n"/>
      <c r="G9" s="60" t="n"/>
      <c r="H9" s="60" t="inlineStr">
        <is>
          <t>Automatable</t>
        </is>
      </c>
      <c r="I9" s="675" t="inlineStr">
        <is>
          <t>Yes</t>
        </is>
      </c>
      <c r="J9" s="60" t="inlineStr">
        <is>
          <t>scripts/appium_mm2_scenario.py + scripts/run_appium_mm2_suite.py</t>
        </is>
      </c>
      <c r="K9" s="60" t="n"/>
      <c r="L9" s="60" t="n"/>
      <c r="M9" s="60" t="n"/>
      <c r="N9" s="60" t="n"/>
      <c r="O9" s="60" t="n"/>
      <c r="P9" s="60" t="n"/>
      <c r="Q9" s="60" t="n"/>
      <c r="R9" s="60" t="n"/>
      <c r="S9" s="60" t="n"/>
      <c r="T9" s="60" t="n"/>
      <c r="U9" s="60" t="n"/>
      <c r="V9" s="60" t="n"/>
      <c r="W9" s="60" t="n"/>
      <c r="X9" s="60" t="n"/>
      <c r="Y9" s="60" t="n"/>
      <c r="Z9" s="60" t="n"/>
    </row>
    <row r="10" ht="141" customHeight="1" s="629">
      <c r="A10" s="284" t="inlineStr">
        <is>
          <t>MM3</t>
        </is>
      </c>
      <c r="B10" s="255" t="inlineStr">
        <is>
          <t>Verification Success</t>
        </is>
      </c>
      <c r="C10" s="255" t="inlineStr">
        <is>
          <t>1. Return to your device's file browser and move the image ong.png back at it's original location mnt/sdcard/Android/data/org.commcare.dalvik/files/commcare/media/ (or what your original file path was). 
2. Return to CommCare; the multimedia screen should still be displayed and showing your missing file
3. Select the drop down at the top right of the screen and select "Install Multimedia"
4. Locate the .zip folder in your device's file explorer and select it, then select, "Install Multimedia"
5. Verify the application installs and there is no longer an error message
6. Enter the user name and password to log in
7. Verify that you are logged into the application and the home screen is shown</t>
        </is>
      </c>
      <c r="D10" s="387" t="n"/>
      <c r="E10" s="249" t="inlineStr">
        <is>
          <t>Automated: reinterprets the row's real intent (continuing from MM2's still-partially-broken state, installing the FULL multimedia zip resolves the remaining missing file, then login succeeds) - confirmed no manual device connection/file-manager step is actually needed: scripts/appium_mm2_scenario.py's run_mm3() (chained in the same Appium session right after run_mm2(), since MM3 continues MM2's own broken state) pushes the app's real (complete) multimedia zip via the same push_file mechanism already proven for CCZs, re-drives Install Multimedia, confirms no missing-media prompt remains, logs in, and verifies the home screen. Verified passing live 2026-09-15.</t>
        </is>
      </c>
      <c r="F10" s="249" t="n"/>
      <c r="G10" s="60" t="n"/>
      <c r="H10" s="60" t="inlineStr">
        <is>
          <t>Automatable</t>
        </is>
      </c>
      <c r="I10" s="675" t="inlineStr">
        <is>
          <t>Yes</t>
        </is>
      </c>
      <c r="J10" s="60" t="inlineStr">
        <is>
          <t>scripts/appium_mm2_scenario.py + scripts/run_appium_mm2_suite.py</t>
        </is>
      </c>
      <c r="K10" s="60" t="n"/>
      <c r="L10" s="60" t="n"/>
      <c r="M10" s="60" t="n"/>
      <c r="N10" s="60" t="n"/>
      <c r="O10" s="60" t="n"/>
      <c r="P10" s="60" t="n"/>
      <c r="Q10" s="60" t="n"/>
      <c r="R10" s="60" t="n"/>
      <c r="S10" s="60" t="n"/>
      <c r="T10" s="60" t="n"/>
      <c r="U10" s="60" t="n"/>
      <c r="V10" s="60" t="n"/>
      <c r="W10" s="60" t="n"/>
      <c r="X10" s="60" t="n"/>
      <c r="Y10" s="60" t="n"/>
      <c r="Z10" s="60" t="n"/>
    </row>
    <row r="11" ht="102.75" customHeight="1" s="629">
      <c r="A11" s="284" t="inlineStr">
        <is>
          <t>MM4</t>
        </is>
      </c>
      <c r="B11" s="468" t="inlineStr">
        <is>
          <t>Question Image/Audio/Select Choice</t>
        </is>
      </c>
      <c r="C11" s="468" t="inlineStr">
        <is>
          <t>1. Select "Multimedia"--&gt;"Media Demo" form and navigate through it 
2. Trigger the audio in the questions by touching the audio icon(s). Verify the audio begins
3. Verify images display for questions that state there is an attached image
4. For the Multiple Choice questions, make sure you can choose only one
5. For the Checkbox question, make sure you can select multiple answers
6. Save and exit your form</t>
        </is>
      </c>
      <c r="D11" s="387" t="n"/>
      <c r="E11" s="249" t="inlineStr">
        <is>
          <t>Partial: navigation/tap/checkbox steps are fully automated (flows/multimedia/mm4_question_types.yaml); whether the audio actually plays correctly is a human judgment call, deliberately skipped per coverage_matrix.csv.</t>
        </is>
      </c>
      <c r="F11" s="249" t="n"/>
      <c r="G11" s="60" t="n"/>
      <c r="H11" s="60" t="inlineStr">
        <is>
          <t>Partial</t>
        </is>
      </c>
      <c r="I11" s="709" t="inlineStr">
        <is>
          <t>Yes</t>
        </is>
      </c>
      <c r="J11" s="60" t="inlineStr">
        <is>
          <t>flows/multimedia/mm4_question_types.yaml</t>
        </is>
      </c>
      <c r="K11" s="60" t="n"/>
      <c r="L11" s="60" t="n"/>
      <c r="M11" s="60" t="n"/>
      <c r="N11" s="60" t="n"/>
      <c r="O11" s="60" t="n"/>
      <c r="P11" s="60" t="n"/>
      <c r="Q11" s="60" t="n"/>
      <c r="R11" s="60" t="n"/>
      <c r="S11" s="60" t="n"/>
      <c r="T11" s="60" t="n"/>
      <c r="U11" s="60" t="n"/>
      <c r="V11" s="60" t="n"/>
      <c r="W11" s="60" t="n"/>
      <c r="X11" s="60" t="n"/>
      <c r="Y11" s="60" t="n"/>
      <c r="Z11" s="60" t="n"/>
    </row>
    <row r="12" ht="115.5" customHeight="1" s="629">
      <c r="A12" s="284" t="inlineStr">
        <is>
          <t>MM5</t>
        </is>
      </c>
      <c r="B12" s="468" t="inlineStr">
        <is>
          <t>Verification Failure from Menu</t>
        </is>
      </c>
      <c r="C12" s="468" t="inlineStr">
        <is>
          <t>1. Access your device's file manager and move this image(two.png) at mnt/sdcard/Android/data/org.commcare.dalvik/files/commcare/media/two.png to another location you can access
2. Open CommCare again--you should be on the home screen. Log out, then back in.
3. Press the drop down menu button on the upper right
4. Select Advanced
5. Select the "Validate Media" option
6. Verify the validation activity launches, runs, and displays a message stating some of your multimedia has not been installed with the missing file path and the "Retry" button is displayed at the bottom of the screen</t>
        </is>
      </c>
      <c r="D12" s="387" t="n"/>
      <c r="E12" s="249" t="inlineStr">
        <is>
          <t>Not automatable (confirmed live 2026-09-15, superseding the earlier 'pending a ccz file' framing - that blocker is resolved as of MM1/2/3, but MM5/6 have a genuinely different, still-real one): unlike MM1/2/3 (which detect missing media during a fresh no-media INSTALL, before login), MM5/6's own premise is a file going missing from an ALREADY-successfully-installed, already-logged-in session while it keeps running - this requires actually deleting a real on-device file, not repairing a pre-login-detected one. Confirmed no working deletion mechanism exists on this BrowserStack Appium/UiAutomator2 driver: `mobile: shell` is blocked (adb_shell insecure feature disabled, same limitation cited for MM1-3), and `mobile: delete` - despite being listed in this driver's own 'Only shell,...,delete' unsupported-command error text - throws its own 'Unknown mobile command "delete"' error when actually invoked (tested live with several parameter shapes). Also confirmed there is no bypass/skip option on the pre-login CommCareVerificationActivity screen (its own overflow menu has only 'Install Multimedia') that would let a no-media install reach a normal logged-in home screen with media still missing, so MM1's own technique can't be adapted to reach MM5's required starting state either. A real on-device delete capability (or a different BrowserStack driver/feature exposing one) would be needed before this is revisited.</t>
        </is>
      </c>
      <c r="F12" s="249" t="n"/>
      <c r="G12" s="60" t="n"/>
      <c r="H12" s="60" t="inlineStr">
        <is>
          <t>Not automatable</t>
        </is>
      </c>
      <c r="I12" s="675" t="inlineStr">
        <is>
          <t>N/A</t>
        </is>
      </c>
      <c r="J12" s="60" t="n"/>
      <c r="K12" s="60" t="n"/>
      <c r="L12" s="60" t="n"/>
      <c r="M12" s="60" t="n"/>
      <c r="N12" s="60" t="n"/>
      <c r="O12" s="60" t="n"/>
      <c r="P12" s="60" t="n"/>
      <c r="Q12" s="60" t="n"/>
      <c r="R12" s="60" t="n"/>
      <c r="S12" s="60" t="n"/>
      <c r="T12" s="60" t="n"/>
      <c r="U12" s="60" t="n"/>
      <c r="V12" s="60" t="n"/>
      <c r="W12" s="60" t="n"/>
      <c r="X12" s="60" t="n"/>
      <c r="Y12" s="60" t="n"/>
      <c r="Z12" s="60" t="n"/>
    </row>
    <row r="13" ht="90" customHeight="1" s="629">
      <c r="A13" s="284" t="inlineStr">
        <is>
          <t>MM6</t>
        </is>
      </c>
      <c r="B13" s="468" t="inlineStr">
        <is>
          <t>Verification Failure from Menu</t>
        </is>
      </c>
      <c r="C13" s="468" t="inlineStr">
        <is>
          <t>1. Return the image two.png to its original location mnt/sdcard/Android/data/org.commcare.dalvik/files/commcare/media/
2. Open CommCare again. You should be on the same screen you left off at, CommCare &gt; Advanced. 
3. Select the "Retry" button
4. Verify that your media validates successfully and you are returned to the home screen</t>
        </is>
      </c>
      <c r="D13" s="387" t="n"/>
      <c r="E13" s="249" t="inlineStr">
        <is>
          <t>Not automatable (confirmed live 2026-09-15, superseding the earlier 'pending a ccz file' framing - that blocker is resolved as of MM1/2/3, but MM5/6 have a genuinely different, still-real one): unlike MM1/2/3 (which detect missing media during a fresh no-media INSTALL, before login), MM5/6's own premise is a file going missing from an ALREADY-successfully-installed, already-logged-in session while it keeps running - this requires actually deleting a real on-device file, not repairing a pre-login-detected one. Confirmed no working deletion mechanism exists on this BrowserStack Appium/UiAutomator2 driver: `mobile: shell` is blocked (adb_shell insecure feature disabled, same limitation cited for MM1-3), and `mobile: delete` - despite being listed in this driver's own 'Only shell,...,delete' unsupported-command error text - throws its own 'Unknown mobile command "delete"' error when actually invoked (tested live with several parameter shapes). Also confirmed there is no bypass/skip option on the pre-login CommCareVerificationActivity screen (its own overflow menu has only 'Install Multimedia') that would let a no-media install reach a normal logged-in home screen with media still missing, so MM1's own technique can't be adapted to reach MM5's required starting state either. A real on-device delete capability (or a different BrowserStack driver/feature exposing one) would be needed before this is revisited.</t>
        </is>
      </c>
      <c r="F13" s="249" t="n"/>
      <c r="G13" s="60" t="n"/>
      <c r="H13" s="60" t="inlineStr">
        <is>
          <t>Not automatable</t>
        </is>
      </c>
      <c r="I13" s="675" t="inlineStr">
        <is>
          <t>N/A</t>
        </is>
      </c>
      <c r="J13" s="60" t="n"/>
      <c r="K13" s="60" t="n"/>
      <c r="L13" s="60" t="n"/>
      <c r="M13" s="60" t="n"/>
      <c r="N13" s="60" t="n"/>
      <c r="O13" s="60" t="n"/>
      <c r="P13" s="60" t="n"/>
      <c r="Q13" s="60" t="n"/>
      <c r="R13" s="60" t="n"/>
      <c r="S13" s="60" t="n"/>
      <c r="T13" s="60" t="n"/>
      <c r="U13" s="60" t="n"/>
      <c r="V13" s="60" t="n"/>
      <c r="W13" s="60" t="n"/>
      <c r="X13" s="60" t="n"/>
      <c r="Y13" s="60" t="n"/>
      <c r="Z13" s="60" t="n"/>
    </row>
    <row r="14" ht="77.25" customHeight="1" s="629">
      <c r="A14" s="284" t="inlineStr">
        <is>
          <t>Icons</t>
        </is>
      </c>
      <c r="B14" s="468" t="inlineStr">
        <is>
          <t>View module and form icons</t>
        </is>
      </c>
      <c r="C14" s="468" t="inlineStr">
        <is>
          <t>1. Select "Start"
2. Verify the form "Icons" includes a blue icon to the left and an audio icon to the right
3. Select the audio button and verify the audio plays
4. Select the form and verify both forms have icons on the left and audio icons on the right
5. Select the audio buttons and verify the audio plays</t>
        </is>
      </c>
      <c r="D14" s="387" t="n"/>
      <c r="E14" s="249" t="inlineStr">
        <is>
          <t>Partial: icon-visible assertions are fully automated (flows/multimedia/icons_module_form_icons.yaml); whether the audio actually plays correctly back is a human judgment call, deliberately skipped per coverage_matrix.csv.</t>
        </is>
      </c>
      <c r="F14" s="249" t="n"/>
      <c r="G14" s="60" t="n"/>
      <c r="H14" s="60" t="inlineStr">
        <is>
          <t>Partial</t>
        </is>
      </c>
      <c r="I14" s="709" t="inlineStr">
        <is>
          <t>Yes</t>
        </is>
      </c>
      <c r="J14" s="60" t="inlineStr">
        <is>
          <t>flows/multimedia/icons_module_form_icons.yaml</t>
        </is>
      </c>
      <c r="K14" s="60" t="n"/>
      <c r="L14" s="60" t="n"/>
      <c r="M14" s="60" t="n"/>
      <c r="N14" s="60" t="n"/>
      <c r="O14" s="60" t="n"/>
      <c r="P14" s="60" t="n"/>
      <c r="Q14" s="60" t="n"/>
      <c r="R14" s="60" t="n"/>
      <c r="S14" s="60" t="n"/>
      <c r="T14" s="60" t="n"/>
      <c r="U14" s="60" t="n"/>
      <c r="V14" s="60" t="n"/>
      <c r="W14" s="60" t="n"/>
      <c r="X14" s="60" t="n"/>
      <c r="Y14" s="60" t="n"/>
      <c r="Z14" s="60" t="n"/>
    </row>
    <row r="15" ht="90" customHeight="1" s="629">
      <c r="A15" s="284" t="inlineStr">
        <is>
          <t>Image Resize 1</t>
        </is>
      </c>
      <c r="B15" s="468" t="inlineStr">
        <is>
          <t>View Large Image Form</t>
        </is>
      </c>
      <c r="C15" s="468" t="inlineStr">
        <is>
          <t>1. Navigate back to the menu list and select "Image Resize"
2. Select the "Large Image" form
3. Navigate through the form, making selections or entering values as instructed, verifying there are no errors
4. Verify the image(s) are not distorted throughout the form when the device is vertical or the orientation is horizontal
5. Save and exit the form, verify you're returned to the form list</t>
        </is>
      </c>
      <c r="D15" s="387" t="n"/>
      <c r="E15" s="249" t="inlineStr">
        <is>
          <t>Partial: automated (flows/multimedia/image_resize_01_04_default_setting.yaml) for the default Auto-Resize setting; verifying the actual pixel dimensions/visual size of each image is out of scope (visual-rendering judgment, not accessibility-tree text).</t>
        </is>
      </c>
      <c r="F15" s="249" t="n"/>
      <c r="G15" s="60" t="n"/>
      <c r="H15" s="60" t="inlineStr">
        <is>
          <t>Partial</t>
        </is>
      </c>
      <c r="I15" s="709" t="inlineStr">
        <is>
          <t>Yes</t>
        </is>
      </c>
      <c r="J15" s="60" t="inlineStr">
        <is>
          <t>flows/multimedia/image_resize_01_04_default_setting.yaml</t>
        </is>
      </c>
      <c r="K15" s="60" t="n"/>
      <c r="L15" s="60" t="n"/>
      <c r="M15" s="60" t="n"/>
      <c r="N15" s="60" t="n"/>
      <c r="O15" s="60" t="n"/>
      <c r="P15" s="60" t="n"/>
      <c r="Q15" s="60" t="n"/>
      <c r="R15" s="60" t="n"/>
      <c r="S15" s="60" t="n"/>
      <c r="T15" s="60" t="n"/>
      <c r="U15" s="60" t="n"/>
      <c r="V15" s="60" t="n"/>
      <c r="W15" s="60" t="n"/>
      <c r="X15" s="60" t="n"/>
      <c r="Y15" s="60" t="n"/>
      <c r="Z15" s="60" t="n"/>
    </row>
    <row r="16" ht="77.25" customHeight="1" s="629">
      <c r="A16" s="284" t="inlineStr">
        <is>
          <t>Image Resize 2</t>
        </is>
      </c>
      <c r="B16" s="468" t="inlineStr">
        <is>
          <t>View Small Image Form</t>
        </is>
      </c>
      <c r="C16" s="468" t="inlineStr">
        <is>
          <t>1. Select the "Small Image" form
2. Navigate through the form, making selections or entering values as instructed, verifying there are no errors
3. Verify the image(s) are not distorted throughout the form when the device is vertical or the orientation is horizontal
4. Save and exit the form, verify you're returned to the form list</t>
        </is>
      </c>
      <c r="D16" s="387" t="n"/>
      <c r="E16" s="249" t="inlineStr">
        <is>
          <t>Partial: same as Image Resize 1 - flows/multimedia/image_resize_01_04_default_setting.yaml covers navigation/presence, not pixel-size verification.</t>
        </is>
      </c>
      <c r="F16" s="249" t="n"/>
      <c r="G16" s="60" t="n"/>
      <c r="H16" s="60" t="inlineStr">
        <is>
          <t>Partial</t>
        </is>
      </c>
      <c r="I16" s="709" t="inlineStr">
        <is>
          <t>Yes</t>
        </is>
      </c>
      <c r="J16" s="60" t="inlineStr">
        <is>
          <t>flows/multimedia/image_resize_01_04_default_setting.yaml</t>
        </is>
      </c>
      <c r="K16" s="60" t="n"/>
      <c r="L16" s="60" t="n"/>
      <c r="M16" s="60" t="n"/>
      <c r="N16" s="60" t="n"/>
      <c r="O16" s="60" t="n"/>
      <c r="P16" s="60" t="n"/>
      <c r="Q16" s="60" t="n"/>
      <c r="R16" s="60" t="n"/>
      <c r="S16" s="60" t="n"/>
      <c r="T16" s="60" t="n"/>
      <c r="U16" s="60" t="n"/>
      <c r="V16" s="60" t="n"/>
      <c r="W16" s="60" t="n"/>
      <c r="X16" s="60" t="n"/>
      <c r="Y16" s="60" t="n"/>
      <c r="Z16" s="60" t="n"/>
    </row>
    <row r="17" ht="77.25" customHeight="1" s="629">
      <c r="A17" s="284" t="inlineStr">
        <is>
          <t>Image Resize 3</t>
        </is>
      </c>
      <c r="B17" s="468" t="inlineStr">
        <is>
          <t>View Wide Image Form</t>
        </is>
      </c>
      <c r="C17" s="468" t="inlineStr">
        <is>
          <t>1. Select the "Wide Image" form
2. Navigate through the form, making selections or entering values as instructed, verifying there are no errors
3. Verify the image(s) are not distorted throughout the form when the device is vertical or the orientation is horizontal
4. Save and exit the form, verify you're returned to the form list</t>
        </is>
      </c>
      <c r="D17" s="387" t="n"/>
      <c r="E17" s="249" t="inlineStr">
        <is>
          <t>Partial: same as Image Resize 1 - flows/multimedia/image_resize_01_04_default_setting.yaml covers navigation/presence, not pixel-size verification.</t>
        </is>
      </c>
      <c r="F17" s="249" t="n"/>
      <c r="G17" s="60" t="n"/>
      <c r="H17" s="60" t="inlineStr">
        <is>
          <t>Partial</t>
        </is>
      </c>
      <c r="I17" s="709" t="inlineStr">
        <is>
          <t>Yes</t>
        </is>
      </c>
      <c r="J17" s="60" t="inlineStr">
        <is>
          <t>flows/multimedia/image_resize_01_04_default_setting.yaml</t>
        </is>
      </c>
      <c r="K17" s="60" t="n"/>
      <c r="L17" s="60" t="n"/>
      <c r="M17" s="60" t="n"/>
      <c r="N17" s="60" t="n"/>
      <c r="O17" s="60" t="n"/>
      <c r="P17" s="60" t="n"/>
      <c r="Q17" s="60" t="n"/>
      <c r="R17" s="60" t="n"/>
      <c r="S17" s="60" t="n"/>
      <c r="T17" s="60" t="n"/>
      <c r="U17" s="60" t="n"/>
      <c r="V17" s="60" t="n"/>
      <c r="W17" s="60" t="n"/>
      <c r="X17" s="60" t="n"/>
      <c r="Y17" s="60" t="n"/>
      <c r="Z17" s="60" t="n"/>
    </row>
    <row r="18" ht="77.25" customHeight="1" s="629">
      <c r="A18" s="284" t="inlineStr">
        <is>
          <t>Image Resize 4</t>
        </is>
      </c>
      <c r="B18" s="468" t="inlineStr">
        <is>
          <t>View Tall Image Form</t>
        </is>
      </c>
      <c r="C18" s="468" t="inlineStr">
        <is>
          <t>1. Select the "Tall Image" form
2. Navigate through the form, making selections or entering values as instructed, verifying there are no errors
3. Verify the image(s) are not distorted throughout the form when the device is vertical or the orientation is horizontal
4. Save and exit the form, verify you're returned to the form list</t>
        </is>
      </c>
      <c r="D18" s="387" t="n"/>
      <c r="E18" s="249" t="inlineStr">
        <is>
          <t>Partial: same as Image Resize 1 - flows/multimedia/image_resize_01_04_default_setting.yaml covers navigation/presence, not pixel-size verification.</t>
        </is>
      </c>
      <c r="F18" s="249" t="n"/>
      <c r="G18" s="60" t="n"/>
      <c r="H18" s="60" t="inlineStr">
        <is>
          <t>Partial</t>
        </is>
      </c>
      <c r="I18" s="709" t="inlineStr">
        <is>
          <t>Yes</t>
        </is>
      </c>
      <c r="J18" s="60" t="inlineStr">
        <is>
          <t>flows/multimedia/image_resize_01_04_default_setting.yaml</t>
        </is>
      </c>
      <c r="K18" s="60" t="n"/>
      <c r="L18" s="60" t="n"/>
      <c r="M18" s="60" t="n"/>
      <c r="N18" s="60" t="n"/>
      <c r="O18" s="60" t="n"/>
      <c r="P18" s="60" t="n"/>
      <c r="Q18" s="60" t="n"/>
      <c r="R18" s="60" t="n"/>
      <c r="S18" s="60" t="n"/>
      <c r="T18" s="60" t="n"/>
      <c r="U18" s="60" t="n"/>
      <c r="V18" s="60" t="n"/>
      <c r="W18" s="60" t="n"/>
      <c r="X18" s="60" t="n"/>
      <c r="Y18" s="60" t="n"/>
      <c r="Z18" s="60" t="n"/>
    </row>
    <row r="19" ht="128.25" customHeight="1" s="629">
      <c r="A19" s="284" t="inlineStr">
        <is>
          <t>Image Resize 5</t>
        </is>
      </c>
      <c r="B19" s="468" t="inlineStr">
        <is>
          <t>Change Application Settings</t>
        </is>
      </c>
      <c r="C19" s="468" t="inlineStr">
        <is>
          <t>1. Uninstall the existing CommCare ODK app from your device
2. Install the latest CommCare ODK .apk file to your device
3. Navigate to Commcare HQ Domain
4. Navigate to the "Multimedia" Application
5. Navigate to "Settings" on the left
6. Click Advanced Settings, "Android Settings" and change "Auto-Resize Images" to "Full Resize"
7. Click "Save"
8. Go to the Release Manager and make a new version of the app
9. Install the new version of the application on phone (include multimedia in your install)
10. Verify that the new version deploys successfully on the phone</t>
        </is>
      </c>
      <c r="D19" s="387" t="n"/>
      <c r="E19" s="249" t="inlineStr">
        <is>
          <t>Not automatable: the HQ-side 'Auto-Resize Images' setting change couldn't be verified - its underlying custom_properties key/value spelling isn't confirmed anywhere in this repo or the read-only commcare-android source (that setting lives purely on the HQ/Django side). See hq_setup/multimedia/image_resize_full_resize.json's own citation for what's blocking it.</t>
        </is>
      </c>
      <c r="F19" s="249" t="n"/>
      <c r="G19" s="60" t="n"/>
      <c r="H19" s="60" t="inlineStr">
        <is>
          <t>Partial</t>
        </is>
      </c>
      <c r="I19" s="709" t="inlineStr">
        <is>
          <t>Yes</t>
        </is>
      </c>
      <c r="J19" s="60" t="inlineStr">
        <is>
          <t>hq_setup/multimedia/image_resize_full_resize.json</t>
        </is>
      </c>
      <c r="K19" s="60" t="n"/>
      <c r="L19" s="60" t="n"/>
      <c r="M19" s="60" t="n"/>
      <c r="N19" s="60" t="n"/>
      <c r="O19" s="60" t="n"/>
      <c r="P19" s="60" t="n"/>
      <c r="Q19" s="60" t="n"/>
      <c r="R19" s="60" t="n"/>
      <c r="S19" s="60" t="n"/>
      <c r="T19" s="60" t="n"/>
      <c r="U19" s="60" t="n"/>
      <c r="V19" s="60" t="n"/>
      <c r="W19" s="60" t="n"/>
      <c r="X19" s="60" t="n"/>
      <c r="Y19" s="60" t="n"/>
      <c r="Z19" s="60" t="n"/>
    </row>
    <row r="20" ht="90" customHeight="1" s="629">
      <c r="A20" s="284" t="inlineStr">
        <is>
          <t>Image Resize 6</t>
        </is>
      </c>
      <c r="B20" s="468" t="inlineStr">
        <is>
          <t>View Large Image Form</t>
        </is>
      </c>
      <c r="C20" s="468" t="inlineStr">
        <is>
          <t>1. Select "Start" and the "Image Resize" menu
2. Select the "Large Image" form
3. Navigate through the form, making selections or entering values as instructed, verifying there are no errors
4. Verify the image(s) are not distorted throughout the form when the device is vertical or the orientation is horizontal
5. Save and exit the form, verify you're returned to the form list</t>
        </is>
      </c>
      <c r="D20" s="387" t="n"/>
      <c r="E20" s="249" t="inlineStr">
        <is>
          <t>Partial: automated (flows/multimedia/image_resize_06_09_full_resize.yaml), sequenced after Image Resize 5's HQ setting change; same pixel-size-verification-out-of-scope caveat as Image Resize 1-4.</t>
        </is>
      </c>
      <c r="F20" s="249" t="n"/>
      <c r="G20" s="60" t="n"/>
      <c r="H20" s="60" t="inlineStr">
        <is>
          <t>Partial</t>
        </is>
      </c>
      <c r="I20" s="709" t="inlineStr">
        <is>
          <t>Yes</t>
        </is>
      </c>
      <c r="J20" s="60" t="inlineStr">
        <is>
          <t>flows/multimedia/image_resize_06_09_full_resize.yaml</t>
        </is>
      </c>
      <c r="K20" s="60" t="n"/>
      <c r="L20" s="60" t="n"/>
      <c r="M20" s="60" t="n"/>
      <c r="N20" s="60" t="n"/>
      <c r="O20" s="60" t="n"/>
      <c r="P20" s="60" t="n"/>
      <c r="Q20" s="60" t="n"/>
      <c r="R20" s="60" t="n"/>
      <c r="S20" s="60" t="n"/>
      <c r="T20" s="60" t="n"/>
      <c r="U20" s="60" t="n"/>
      <c r="V20" s="60" t="n"/>
      <c r="W20" s="60" t="n"/>
      <c r="X20" s="60" t="n"/>
      <c r="Y20" s="60" t="n"/>
      <c r="Z20" s="60" t="n"/>
    </row>
    <row r="21" ht="64.5" customHeight="1" s="629">
      <c r="A21" s="284" t="inlineStr">
        <is>
          <t>Image Resize 7</t>
        </is>
      </c>
      <c r="B21" s="468" t="inlineStr">
        <is>
          <t>View Small Image Form</t>
        </is>
      </c>
      <c r="C21" s="468" t="inlineStr">
        <is>
          <t>1. Select the "Small Image" form
2. Navigate through the form, making selections or entering values as instructed, verifying there are no errors
3. Verify the image(s) are not distorted throughout the form
4. Rotate the device so that it is in landscape mode to verify the images are still correct.
5. Save and exit the form, verify you're returned to the form list</t>
        </is>
      </c>
      <c r="D21" s="387" t="n"/>
      <c r="E21" s="249" t="inlineStr">
        <is>
          <t>Partial: same as Image Resize 6 - navigation/presence only, not pixel-size verification.</t>
        </is>
      </c>
      <c r="F21" s="249" t="n"/>
      <c r="G21" s="60" t="n"/>
      <c r="H21" s="60" t="inlineStr">
        <is>
          <t>Partial</t>
        </is>
      </c>
      <c r="I21" s="709" t="inlineStr">
        <is>
          <t>Yes</t>
        </is>
      </c>
      <c r="J21" s="60" t="inlineStr">
        <is>
          <t>flows/multimedia/image_resize_06_09_full_resize.yaml</t>
        </is>
      </c>
      <c r="K21" s="60" t="n"/>
      <c r="L21" s="60" t="n"/>
      <c r="M21" s="60" t="n"/>
      <c r="N21" s="60" t="n"/>
      <c r="O21" s="60" t="n"/>
      <c r="P21" s="60" t="n"/>
      <c r="Q21" s="60" t="n"/>
      <c r="R21" s="60" t="n"/>
      <c r="S21" s="60" t="n"/>
      <c r="T21" s="60" t="n"/>
      <c r="U21" s="60" t="n"/>
      <c r="V21" s="60" t="n"/>
      <c r="W21" s="60" t="n"/>
      <c r="X21" s="60" t="n"/>
      <c r="Y21" s="60" t="n"/>
      <c r="Z21" s="60" t="n"/>
    </row>
    <row r="22" ht="64.5" customHeight="1" s="629">
      <c r="A22" s="284" t="inlineStr">
        <is>
          <t>Image Resize 8</t>
        </is>
      </c>
      <c r="B22" s="468" t="inlineStr">
        <is>
          <t>View Wide Image Form</t>
        </is>
      </c>
      <c r="C22" s="468" t="inlineStr">
        <is>
          <t>1. Select the "Wide Image" form
2. Navigate through the form, making selections or entering values as instructed, verifying there are no errors
3. Verify the image(s) are not distorted throughout the form
4. Rotate the device so that it is in landscape mode to verify the images are still correct.
5. Save and exit the form, verify you're returned to the form list</t>
        </is>
      </c>
      <c r="D22" s="387" t="n"/>
      <c r="E22" s="249" t="inlineStr">
        <is>
          <t>Partial: same as Image Resize 6 - navigation/presence only, not pixel-size verification.</t>
        </is>
      </c>
      <c r="F22" s="249" t="n"/>
      <c r="G22" s="60" t="n"/>
      <c r="H22" s="60" t="inlineStr">
        <is>
          <t>Partial</t>
        </is>
      </c>
      <c r="I22" s="709" t="inlineStr">
        <is>
          <t>Yes</t>
        </is>
      </c>
      <c r="J22" s="60" t="inlineStr">
        <is>
          <t>flows/multimedia/image_resize_06_09_full_resize.yaml</t>
        </is>
      </c>
      <c r="K22" s="60" t="n"/>
      <c r="L22" s="60" t="n"/>
      <c r="M22" s="60" t="n"/>
      <c r="N22" s="60" t="n"/>
      <c r="O22" s="60" t="n"/>
      <c r="P22" s="60" t="n"/>
      <c r="Q22" s="60" t="n"/>
      <c r="R22" s="60" t="n"/>
      <c r="S22" s="60" t="n"/>
      <c r="T22" s="60" t="n"/>
      <c r="U22" s="60" t="n"/>
      <c r="V22" s="60" t="n"/>
      <c r="W22" s="60" t="n"/>
      <c r="X22" s="60" t="n"/>
      <c r="Y22" s="60" t="n"/>
      <c r="Z22" s="60" t="n"/>
    </row>
    <row r="23" ht="64.5" customHeight="1" s="629">
      <c r="A23" s="284" t="inlineStr">
        <is>
          <t>Image Resize 9</t>
        </is>
      </c>
      <c r="B23" s="468" t="inlineStr">
        <is>
          <t>View Tall Image Form</t>
        </is>
      </c>
      <c r="C23" s="468" t="inlineStr">
        <is>
          <t>1. Select the "Tall Image" form
2. Navigate through the form, making selections or entering values as instructed, verifying there are no errors
3. Verify the image(s) are not distorted throughout the form
4. Rotate the device so that it is in landscape mode to verify the images are still correct.
5. Save and exit the form, verify you're returned to the form list</t>
        </is>
      </c>
      <c r="D23" s="387" t="n"/>
      <c r="E23" s="249" t="inlineStr">
        <is>
          <t>Partial: same as Image Resize 6 - navigation/presence only, not pixel-size verification.</t>
        </is>
      </c>
      <c r="F23" s="249" t="n"/>
      <c r="G23" s="60" t="n"/>
      <c r="H23" s="60" t="inlineStr">
        <is>
          <t>Partial</t>
        </is>
      </c>
      <c r="I23" s="709" t="inlineStr">
        <is>
          <t>Yes</t>
        </is>
      </c>
      <c r="J23" s="60" t="inlineStr">
        <is>
          <t>flows/multimedia/image_resize_06_09_full_resize.yaml</t>
        </is>
      </c>
      <c r="K23" s="60" t="n"/>
      <c r="L23" s="60" t="n"/>
      <c r="M23" s="60" t="n"/>
      <c r="N23" s="60" t="n"/>
      <c r="O23" s="60" t="n"/>
      <c r="P23" s="60" t="n"/>
      <c r="Q23" s="60" t="n"/>
      <c r="R23" s="60" t="n"/>
      <c r="S23" s="60" t="n"/>
      <c r="T23" s="60" t="n"/>
      <c r="U23" s="60" t="n"/>
      <c r="V23" s="60" t="n"/>
      <c r="W23" s="60" t="n"/>
      <c r="X23" s="60" t="n"/>
      <c r="Y23" s="60" t="n"/>
      <c r="Z23" s="60" t="n"/>
    </row>
    <row r="24" ht="128.25" customHeight="1" s="629">
      <c r="A24" s="284" t="inlineStr">
        <is>
          <t>Image Resize 10</t>
        </is>
      </c>
      <c r="B24" s="468" t="inlineStr">
        <is>
          <t>Change Application Settings</t>
        </is>
      </c>
      <c r="C24" s="468" t="inlineStr">
        <is>
          <t>1. Uninstall the existing CommCare ODK app from your device
2. Install the latest CommCare .apk file to your device
3. Navigate to Commcare HQ Domain
4. Navigate to the "Multimedia" application
5. Navigate to the "Settings" on the left
6. Click Advanced Settings, "Android Settings" and change "Auto-resize Images" to "Horizontal Resize"
7. Click "Save"
8. Go to "Release Manager" page and make a new version of the app
9. Install the new version of the application on phone (include multimedia)
10. Verify that the new version deploys successfully on the phone</t>
        </is>
      </c>
      <c r="D24" s="387" t="n"/>
      <c r="E24" s="249" t="inlineStr">
        <is>
          <t>Not automatable: same unverified custom_properties key/value gap as Image Resize 5, for the 'Horizontal Resize' setting - see hq_setup/multimedia/image_resize_horizontal_resize.json.</t>
        </is>
      </c>
      <c r="F24" s="249" t="n"/>
      <c r="G24" s="60" t="n"/>
      <c r="H24" s="60" t="inlineStr">
        <is>
          <t>Partial</t>
        </is>
      </c>
      <c r="I24" s="709" t="inlineStr">
        <is>
          <t>Yes</t>
        </is>
      </c>
      <c r="J24" s="60" t="inlineStr">
        <is>
          <t>hq_setup/multimedia/image_resize_horizontal_resize.json</t>
        </is>
      </c>
      <c r="K24" s="60" t="n"/>
      <c r="L24" s="60" t="n"/>
      <c r="M24" s="60" t="n"/>
      <c r="N24" s="60" t="n"/>
      <c r="O24" s="60" t="n"/>
      <c r="P24" s="60" t="n"/>
      <c r="Q24" s="60" t="n"/>
      <c r="R24" s="60" t="n"/>
      <c r="S24" s="60" t="n"/>
      <c r="T24" s="60" t="n"/>
      <c r="U24" s="60" t="n"/>
      <c r="V24" s="60" t="n"/>
      <c r="W24" s="60" t="n"/>
      <c r="X24" s="60" t="n"/>
      <c r="Y24" s="60" t="n"/>
      <c r="Z24" s="60" t="n"/>
    </row>
    <row r="25" ht="90" customHeight="1" s="629">
      <c r="A25" s="284" t="inlineStr">
        <is>
          <t>Image Resize 11</t>
        </is>
      </c>
      <c r="B25" s="468" t="inlineStr">
        <is>
          <t>View Large Image Form</t>
        </is>
      </c>
      <c r="C25" s="468" t="inlineStr">
        <is>
          <t>1. Select "Start" and the "Image Resize" menu
2. Select the "Large Image" form
3. Navigate through the form, making selections or entering values as instructed, verifying there are no errors
4. Verify the image(s) are not distorted throughout the form when the device is vertical or the orientation is horizontal
5. Save and exit the form, verify you're returned to the form list</t>
        </is>
      </c>
      <c r="D25" s="387" t="n"/>
      <c r="E25" s="249" t="inlineStr">
        <is>
          <t>Partial: automated (flows/multimedia/image_resize_11_14_horizontal_resize.yaml), sequenced after Image Resize 10's HQ setting change; same pixel-size-verification-out-of-scope caveat.</t>
        </is>
      </c>
      <c r="F25" s="249" t="n"/>
      <c r="G25" s="60" t="n"/>
      <c r="H25" s="60" t="inlineStr">
        <is>
          <t>Partial</t>
        </is>
      </c>
      <c r="I25" s="709" t="inlineStr">
        <is>
          <t>Yes</t>
        </is>
      </c>
      <c r="J25" s="60" t="inlineStr">
        <is>
          <t>flows/multimedia/image_resize_11_14_horizontal_resize.yaml</t>
        </is>
      </c>
      <c r="K25" s="60" t="n"/>
      <c r="L25" s="60" t="n"/>
      <c r="M25" s="60" t="n"/>
      <c r="N25" s="60" t="n"/>
      <c r="O25" s="60" t="n"/>
      <c r="P25" s="60" t="n"/>
      <c r="Q25" s="60" t="n"/>
      <c r="R25" s="60" t="n"/>
      <c r="S25" s="60" t="n"/>
      <c r="T25" s="60" t="n"/>
      <c r="U25" s="60" t="n"/>
      <c r="V25" s="60" t="n"/>
      <c r="W25" s="60" t="n"/>
      <c r="X25" s="60" t="n"/>
      <c r="Y25" s="60" t="n"/>
      <c r="Z25" s="60" t="n"/>
    </row>
    <row r="26" ht="77.25" customHeight="1" s="629">
      <c r="A26" s="284" t="inlineStr">
        <is>
          <t>Image Resize 12</t>
        </is>
      </c>
      <c r="B26" s="468" t="inlineStr">
        <is>
          <t>View Small Image Form</t>
        </is>
      </c>
      <c r="C26" s="468" t="inlineStr">
        <is>
          <t>1. Select the "Small Image" form
2. Navigate through the form, making selections or entering values as instructed, verifying there are no errors
3. Verify the image(s) are not distorted throughout the form when the device is vertical or the orientation is horizontal
4. Save and exit the form, verify you're returned to the form list</t>
        </is>
      </c>
      <c r="D26" s="387" t="n"/>
      <c r="E26" s="249" t="inlineStr">
        <is>
          <t>Partial: same as Image Resize 11 - navigation/presence only, not pixel-size verification.</t>
        </is>
      </c>
      <c r="F26" s="249" t="n"/>
      <c r="G26" s="60" t="n"/>
      <c r="H26" s="60" t="inlineStr">
        <is>
          <t>Partial</t>
        </is>
      </c>
      <c r="I26" s="709" t="inlineStr">
        <is>
          <t>Yes</t>
        </is>
      </c>
      <c r="J26" s="60" t="inlineStr">
        <is>
          <t>flows/multimedia/image_resize_11_14_horizontal_resize.yaml</t>
        </is>
      </c>
      <c r="K26" s="60" t="n"/>
      <c r="L26" s="60" t="n"/>
      <c r="M26" s="60" t="n"/>
      <c r="N26" s="60" t="n"/>
      <c r="O26" s="60" t="n"/>
      <c r="P26" s="60" t="n"/>
      <c r="Q26" s="60" t="n"/>
      <c r="R26" s="60" t="n"/>
      <c r="S26" s="60" t="n"/>
      <c r="T26" s="60" t="n"/>
      <c r="U26" s="60" t="n"/>
      <c r="V26" s="60" t="n"/>
      <c r="W26" s="60" t="n"/>
      <c r="X26" s="60" t="n"/>
      <c r="Y26" s="60" t="n"/>
      <c r="Z26" s="60" t="n"/>
    </row>
    <row r="27" ht="77.25" customHeight="1" s="629">
      <c r="A27" s="284" t="inlineStr">
        <is>
          <t>Image Resize 13</t>
        </is>
      </c>
      <c r="B27" s="468" t="inlineStr">
        <is>
          <t>View Wide Image Form</t>
        </is>
      </c>
      <c r="C27" s="468" t="inlineStr">
        <is>
          <t>1. Select the "Wide Image" form
2. Navigate through the form, making selections or entering values as instructed, verifying there are no errors
3. Verify the image(s) are not distorted throughout the form when the device is vertical or the orientation is horizontal
4. Save and exit the form, and verify you're returned to the form list</t>
        </is>
      </c>
      <c r="D27" s="387" t="n"/>
      <c r="E27" s="249" t="inlineStr">
        <is>
          <t>Partial: same as Image Resize 11 - navigation/presence only, not pixel-size verification.</t>
        </is>
      </c>
      <c r="F27" s="249" t="n"/>
      <c r="G27" s="60" t="n"/>
      <c r="H27" s="60" t="inlineStr">
        <is>
          <t>Partial</t>
        </is>
      </c>
      <c r="I27" s="709" t="inlineStr">
        <is>
          <t>Yes</t>
        </is>
      </c>
      <c r="J27" s="60" t="inlineStr">
        <is>
          <t>flows/multimedia/image_resize_11_14_horizontal_resize.yaml</t>
        </is>
      </c>
      <c r="K27" s="60" t="n"/>
      <c r="L27" s="60" t="n"/>
      <c r="M27" s="60" t="n"/>
      <c r="N27" s="60" t="n"/>
      <c r="O27" s="60" t="n"/>
      <c r="P27" s="60" t="n"/>
      <c r="Q27" s="60" t="n"/>
      <c r="R27" s="60" t="n"/>
      <c r="S27" s="60" t="n"/>
      <c r="T27" s="60" t="n"/>
      <c r="U27" s="60" t="n"/>
      <c r="V27" s="60" t="n"/>
      <c r="W27" s="60" t="n"/>
      <c r="X27" s="60" t="n"/>
      <c r="Y27" s="60" t="n"/>
      <c r="Z27" s="60" t="n"/>
    </row>
    <row r="28" ht="77.25" customHeight="1" s="629">
      <c r="A28" s="284" t="inlineStr">
        <is>
          <t>Image Resize 14</t>
        </is>
      </c>
      <c r="B28" s="468" t="inlineStr">
        <is>
          <t>View Tall Image Form</t>
        </is>
      </c>
      <c r="C28" s="468" t="inlineStr">
        <is>
          <t>1. Select the "Tall Image" form
2. Navigate through the form, making selections or entering values as instructed, verifying there are no errors
3. Verify the image(s) are not distorted throughout the form when the device is vertical or the orientation is horizontal
4. Save and exit the form, and verify you're returned to the form list</t>
        </is>
      </c>
      <c r="D28" s="387" t="n"/>
      <c r="E28" s="249" t="inlineStr">
        <is>
          <t>Partial: same as Image Resize 11 - navigation/presence only, not pixel-size verification.</t>
        </is>
      </c>
      <c r="F28" s="249" t="n"/>
      <c r="G28" s="60" t="n"/>
      <c r="H28" s="60" t="inlineStr">
        <is>
          <t>Partial</t>
        </is>
      </c>
      <c r="I28" s="709" t="inlineStr">
        <is>
          <t>Yes</t>
        </is>
      </c>
      <c r="J28" s="60" t="inlineStr">
        <is>
          <t>flows/multimedia/image_resize_11_14_horizontal_resize.yaml</t>
        </is>
      </c>
      <c r="K28" s="60" t="n"/>
      <c r="L28" s="60" t="n"/>
      <c r="M28" s="60" t="n"/>
      <c r="N28" s="60" t="n"/>
      <c r="O28" s="60" t="n"/>
      <c r="P28" s="60" t="n"/>
      <c r="Q28" s="60" t="n"/>
      <c r="R28" s="60" t="n"/>
      <c r="S28" s="60" t="n"/>
      <c r="T28" s="60" t="n"/>
      <c r="U28" s="60" t="n"/>
      <c r="V28" s="60" t="n"/>
      <c r="W28" s="60" t="n"/>
      <c r="X28" s="60" t="n"/>
      <c r="Y28" s="60" t="n"/>
      <c r="Z28" s="60" t="n"/>
    </row>
    <row r="29" ht="128.25" customHeight="1" s="629">
      <c r="A29" s="284" t="inlineStr">
        <is>
          <t>Image Resize 15</t>
        </is>
      </c>
      <c r="B29" s="468" t="inlineStr">
        <is>
          <t>Change Application Settings</t>
        </is>
      </c>
      <c r="C29" s="468" t="inlineStr">
        <is>
          <t>1. Uninstall the existing CommCare ODK app from your device
2. Install the latest CommCare ODK .apk file to your device
3. Navigate to Commcare HQ Domain
4. Navigate to the "Multimedia" application
5. Navigate to the "Settings" on the left
6. Click "Android Settings" and change "Auto-resize Images" to "Half Resize"
7. Click "Save"
8. Go to "Release Manager" page and make a new version of the app
9. Install the new version of the application on phone (include multimedia)
10. Verify that the new version deploys successfully on the phone</t>
        </is>
      </c>
      <c r="D29" s="387" t="n"/>
      <c r="E29" s="249" t="inlineStr">
        <is>
          <t>Not automatable: same unverified custom_properties key/value gap as Image Resize 5, for the 'Half Resize' setting - see hq_setup/multimedia/image_resize_half_resize.json.</t>
        </is>
      </c>
      <c r="F29" s="249" t="n"/>
      <c r="G29" s="60" t="n"/>
      <c r="H29" s="60" t="inlineStr">
        <is>
          <t>Partial</t>
        </is>
      </c>
      <c r="I29" s="709" t="inlineStr">
        <is>
          <t>Yes</t>
        </is>
      </c>
      <c r="J29" s="60" t="inlineStr">
        <is>
          <t>hq_setup/multimedia/image_resize_half_resize.json</t>
        </is>
      </c>
      <c r="K29" s="60" t="n"/>
      <c r="L29" s="60" t="n"/>
      <c r="M29" s="60" t="n"/>
      <c r="N29" s="60" t="n"/>
      <c r="O29" s="60" t="n"/>
      <c r="P29" s="60" t="n"/>
      <c r="Q29" s="60" t="n"/>
      <c r="R29" s="60" t="n"/>
      <c r="S29" s="60" t="n"/>
      <c r="T29" s="60" t="n"/>
      <c r="U29" s="60" t="n"/>
      <c r="V29" s="60" t="n"/>
      <c r="W29" s="60" t="n"/>
      <c r="X29" s="60" t="n"/>
      <c r="Y29" s="60" t="n"/>
      <c r="Z29" s="60" t="n"/>
    </row>
    <row r="30" ht="90" customHeight="1" s="629">
      <c r="A30" s="284" t="inlineStr">
        <is>
          <t>Image Resize 16</t>
        </is>
      </c>
      <c r="B30" s="468" t="inlineStr">
        <is>
          <t>View Large Image Form</t>
        </is>
      </c>
      <c r="C30" s="468" t="inlineStr">
        <is>
          <t>1. Select "Start" and the "Image Resize" menu
2. Select the "Large Image" form
3. Navigate through the form, making selections or entering values as instructed, verifying there are no errors
4. Verify the image(s) are not distorted throughout the form when the device is vertical or the orientation is horizontal
5. Save and exit the form, verify you're returned to the form list.</t>
        </is>
      </c>
      <c r="D30" s="387" t="n"/>
      <c r="E30" s="249" t="inlineStr">
        <is>
          <t>Partial: automated (flows/multimedia/image_resize_16_19_half_resize.yaml), sequenced after Image Resize 15's HQ setting change; same pixel-size-verification-out-of-scope caveat.</t>
        </is>
      </c>
      <c r="F30" s="249" t="n"/>
      <c r="G30" s="60" t="n"/>
      <c r="H30" s="60" t="inlineStr">
        <is>
          <t>Partial</t>
        </is>
      </c>
      <c r="I30" s="709" t="inlineStr">
        <is>
          <t>Yes</t>
        </is>
      </c>
      <c r="J30" s="60" t="inlineStr">
        <is>
          <t>flows/multimedia/image_resize_16_19_half_resize.yaml</t>
        </is>
      </c>
      <c r="K30" s="60" t="n"/>
      <c r="L30" s="60" t="n"/>
      <c r="M30" s="60" t="n"/>
      <c r="N30" s="60" t="n"/>
      <c r="O30" s="60" t="n"/>
      <c r="P30" s="60" t="n"/>
      <c r="Q30" s="60" t="n"/>
      <c r="R30" s="60" t="n"/>
      <c r="S30" s="60" t="n"/>
      <c r="T30" s="60" t="n"/>
      <c r="U30" s="60" t="n"/>
      <c r="V30" s="60" t="n"/>
      <c r="W30" s="60" t="n"/>
      <c r="X30" s="60" t="n"/>
      <c r="Y30" s="60" t="n"/>
      <c r="Z30" s="60" t="n"/>
    </row>
    <row r="31" ht="77.25" customHeight="1" s="629">
      <c r="A31" s="284" t="inlineStr">
        <is>
          <t>Image Resize 17</t>
        </is>
      </c>
      <c r="B31" s="468" t="inlineStr">
        <is>
          <t>View Small Image Form</t>
        </is>
      </c>
      <c r="C31" s="468" t="inlineStr">
        <is>
          <t>1. Select the "Small Image" form
2. Navigate through the form, making selections or entering values as instructed, verifying there are no errors
3. Verify the image(s) are not distorted throughout the form when the device is vertical or the orientation is horizontal
4. Save and exit the form, verify you're returned to the form list</t>
        </is>
      </c>
      <c r="D31" s="387" t="n"/>
      <c r="E31" s="249" t="inlineStr">
        <is>
          <t>Partial: same as Image Resize 16 - navigation/presence only, not pixel-size verification.</t>
        </is>
      </c>
      <c r="F31" s="249" t="n"/>
      <c r="G31" s="60" t="n"/>
      <c r="H31" s="60" t="inlineStr">
        <is>
          <t>Partial</t>
        </is>
      </c>
      <c r="I31" s="709" t="inlineStr">
        <is>
          <t>Yes</t>
        </is>
      </c>
      <c r="J31" s="60" t="inlineStr">
        <is>
          <t>flows/multimedia/image_resize_16_19_half_resize.yaml</t>
        </is>
      </c>
      <c r="K31" s="60" t="n"/>
      <c r="L31" s="60" t="n"/>
      <c r="M31" s="60" t="n"/>
      <c r="N31" s="60" t="n"/>
      <c r="O31" s="60" t="n"/>
      <c r="P31" s="60" t="n"/>
      <c r="Q31" s="60" t="n"/>
      <c r="R31" s="60" t="n"/>
      <c r="S31" s="60" t="n"/>
      <c r="T31" s="60" t="n"/>
      <c r="U31" s="60" t="n"/>
      <c r="V31" s="60" t="n"/>
      <c r="W31" s="60" t="n"/>
      <c r="X31" s="60" t="n"/>
      <c r="Y31" s="60" t="n"/>
      <c r="Z31" s="60" t="n"/>
    </row>
    <row r="32" ht="77.25" customHeight="1" s="629">
      <c r="A32" s="284" t="inlineStr">
        <is>
          <t>Image Resize 18</t>
        </is>
      </c>
      <c r="B32" s="468" t="inlineStr">
        <is>
          <t>View Wide Image Form</t>
        </is>
      </c>
      <c r="C32" s="468" t="inlineStr">
        <is>
          <t>1. Select the "Wide Image" form
2. Navigate through the form, making selections or entering values as instructed, verifying there are no errors
3. Verify the image(s) are not distorted throughout the form when the device is vertical or the orientation is horizontal
4. Save and exit the form, and verify you're returned to the form list</t>
        </is>
      </c>
      <c r="D32" s="387" t="n"/>
      <c r="E32" s="521" t="inlineStr">
        <is>
          <t>Partial: same as Image Resize 16 - navigation/presence only, not pixel-size verification.</t>
        </is>
      </c>
      <c r="F32" s="521" t="n"/>
      <c r="G32" s="60" t="n"/>
      <c r="H32" s="60" t="inlineStr">
        <is>
          <t>Partial</t>
        </is>
      </c>
      <c r="I32" s="709" t="inlineStr">
        <is>
          <t>Yes</t>
        </is>
      </c>
      <c r="J32" s="60" t="inlineStr">
        <is>
          <t>flows/multimedia/image_resize_16_19_half_resize.yaml</t>
        </is>
      </c>
      <c r="K32" s="60" t="n"/>
      <c r="L32" s="60" t="n"/>
      <c r="M32" s="60" t="n"/>
      <c r="N32" s="60" t="n"/>
      <c r="O32" s="60" t="n"/>
      <c r="P32" s="60" t="n"/>
      <c r="Q32" s="60" t="n"/>
      <c r="R32" s="60" t="n"/>
      <c r="S32" s="60" t="n"/>
      <c r="T32" s="60" t="n"/>
      <c r="U32" s="60" t="n"/>
      <c r="V32" s="60" t="n"/>
      <c r="W32" s="60" t="n"/>
      <c r="X32" s="60" t="n"/>
      <c r="Y32" s="60" t="n"/>
      <c r="Z32" s="60" t="n"/>
    </row>
    <row r="33" ht="77.25" customHeight="1" s="629">
      <c r="A33" s="284" t="inlineStr">
        <is>
          <t>Image Resize 19</t>
        </is>
      </c>
      <c r="B33" s="468" t="inlineStr">
        <is>
          <t>View Tall Image Form</t>
        </is>
      </c>
      <c r="C33" s="468" t="inlineStr">
        <is>
          <t>1. Select the "Tall Image" form
2. Navigate through the form, making selections or entering values as instructed, verifying there are no errors
3. Verify the image(s) are not distorted throughout the form when the device is vertical or the orientation is horizontal
4. Save and exit the form, and verify you're returned to the form list</t>
        </is>
      </c>
      <c r="D33" s="387" t="n"/>
      <c r="E33" s="521" t="inlineStr">
        <is>
          <t>Partial: same as Image Resize 16 - navigation/presence only, not pixel-size verification.</t>
        </is>
      </c>
      <c r="F33" s="521" t="n"/>
      <c r="G33" s="60" t="n"/>
      <c r="H33" s="60" t="inlineStr">
        <is>
          <t>Partial</t>
        </is>
      </c>
      <c r="I33" s="709" t="inlineStr">
        <is>
          <t>Yes</t>
        </is>
      </c>
      <c r="J33" s="60" t="inlineStr">
        <is>
          <t>flows/multimedia/image_resize_16_19_half_resize.yaml</t>
        </is>
      </c>
      <c r="K33" s="60" t="n"/>
      <c r="L33" s="60" t="n"/>
      <c r="M33" s="60" t="n"/>
      <c r="N33" s="60" t="n"/>
      <c r="O33" s="60" t="n"/>
      <c r="P33" s="60" t="n"/>
      <c r="Q33" s="60" t="n"/>
      <c r="R33" s="60" t="n"/>
      <c r="S33" s="60" t="n"/>
      <c r="T33" s="60" t="n"/>
      <c r="U33" s="60" t="n"/>
      <c r="V33" s="60" t="n"/>
      <c r="W33" s="60" t="n"/>
      <c r="X33" s="60" t="n"/>
      <c r="Y33" s="60" t="n"/>
      <c r="Z33" s="60" t="n"/>
    </row>
    <row r="34" ht="51.75" customHeight="1" s="629">
      <c r="A34" s="284" t="inlineStr">
        <is>
          <t>Image Resize 20</t>
        </is>
      </c>
      <c r="B34" s="468" t="inlineStr">
        <is>
          <t>Restore default setting</t>
        </is>
      </c>
      <c r="C34" s="468" t="inlineStr">
        <is>
          <t>1. Uninstall the existing CommCare ODK app from your device
2. Install the latest CommCare ODK .apk file to your device
3. Navigate to Commcare HQ Domain
4. Navigate to the "Multimedia" application
5. Navigate to the "Settings" on the left (click on gear by application name)
6. Click Advanced Settings, "Android Settings" and change "Auto-resize Images" to "None"
7. Click "Save"
8. Go to "Release Manager" page and make a new version of the app
9. Install the new version of the application on phone (include multimedia)
10. Verify that the new version deploys successfully on the phone</t>
        </is>
      </c>
      <c r="D34" s="387" t="n"/>
      <c r="E34" s="521" t="inlineStr">
        <is>
          <t>Not automatable: same unverified custom_properties key/value gap as Image Resize 5, for restoring 'None' - see hq_setup/multimedia/image_resize_none_resize.json.</t>
        </is>
      </c>
      <c r="F34" s="521" t="n"/>
      <c r="G34" s="60" t="n"/>
      <c r="H34" s="60" t="inlineStr">
        <is>
          <t>Partial</t>
        </is>
      </c>
      <c r="I34" s="709" t="inlineStr">
        <is>
          <t>Yes</t>
        </is>
      </c>
      <c r="J34" s="60" t="inlineStr">
        <is>
          <t>hq_setup/multimedia/image_resize_none_resize.json</t>
        </is>
      </c>
      <c r="K34" s="60" t="n"/>
      <c r="L34" s="60" t="n"/>
      <c r="M34" s="60" t="n"/>
      <c r="N34" s="60" t="n"/>
      <c r="O34" s="60" t="n"/>
      <c r="P34" s="60" t="n"/>
      <c r="Q34" s="60" t="n"/>
      <c r="R34" s="60" t="n"/>
      <c r="S34" s="60" t="n"/>
      <c r="T34" s="60" t="n"/>
      <c r="U34" s="60" t="n"/>
      <c r="V34" s="60" t="n"/>
      <c r="W34" s="60" t="n"/>
      <c r="X34" s="60" t="n"/>
      <c r="Y34" s="60" t="n"/>
      <c r="Z34" s="60" t="n"/>
    </row>
    <row r="35">
      <c r="A35" s="288" t="inlineStr">
        <is>
          <t>Image Resize 21</t>
        </is>
      </c>
      <c r="B35" s="468" t="inlineStr">
        <is>
          <t>View Large Image Form</t>
        </is>
      </c>
      <c r="C35" s="468" t="inlineStr">
        <is>
          <t>1. Select "Start" and the "Image Resize" menu
2. Select the "Large Image" form
3. Navigate through the form, making selections or entering values as instructed, verifying there are no errors
4. Verify the image(s) are not distorted throughout the form when the device is vertical or the orientation is horizontal
5. Save and exit the form, verify you're returned to the form list.</t>
        </is>
      </c>
      <c r="D35" s="387" t="n"/>
      <c r="E35" s="521" t="inlineStr">
        <is>
          <t>Partial: automated (flows/multimedia/image_resize_21_24_none_resize.yaml), sequenced after Image Resize 20's HQ setting restore; same pixel-size-verification-out-of-scope caveat.</t>
        </is>
      </c>
      <c r="F35" s="521" t="n"/>
      <c r="G35" s="60" t="n"/>
      <c r="H35" s="60" t="inlineStr">
        <is>
          <t>Partial</t>
        </is>
      </c>
      <c r="I35" s="709" t="inlineStr">
        <is>
          <t>Yes</t>
        </is>
      </c>
      <c r="J35" s="60" t="inlineStr">
        <is>
          <t>flows/multimedia/image_resize_21_24_none_resize.yaml</t>
        </is>
      </c>
      <c r="K35" s="60" t="n"/>
      <c r="L35" s="60" t="n"/>
      <c r="M35" s="60" t="n"/>
      <c r="N35" s="60" t="n"/>
      <c r="O35" s="60" t="n"/>
      <c r="P35" s="60" t="n"/>
      <c r="Q35" s="60" t="n"/>
      <c r="R35" s="60" t="n"/>
      <c r="S35" s="60" t="n"/>
      <c r="T35" s="60" t="n"/>
      <c r="U35" s="60" t="n"/>
      <c r="V35" s="60" t="n"/>
      <c r="W35" s="60" t="n"/>
      <c r="X35" s="60" t="n"/>
      <c r="Y35" s="60" t="n"/>
      <c r="Z35" s="60" t="n"/>
    </row>
    <row r="36">
      <c r="A36" s="284" t="inlineStr">
        <is>
          <t>Image Resize 22</t>
        </is>
      </c>
      <c r="B36" s="468" t="inlineStr">
        <is>
          <t>View Small Image Form</t>
        </is>
      </c>
      <c r="C36" s="468" t="inlineStr">
        <is>
          <t>1. Select the "Small Image" form
2. Navigate through the form, making selections or entering values as instructed, verifying there are no errors
3. Verify the image(s) are not distorted throughout the form when the device is vertical or the orientation is horizontal
4. Save and exit the form, verify you're returned to the form list</t>
        </is>
      </c>
      <c r="D36" s="387" t="n"/>
      <c r="E36" s="521" t="inlineStr">
        <is>
          <t>Partial: same as Image Resize 21 - navigation/presence only, not pixel-size verification.</t>
        </is>
      </c>
      <c r="F36" s="521" t="n"/>
      <c r="G36" s="60" t="n"/>
      <c r="H36" s="60" t="inlineStr">
        <is>
          <t>Partial</t>
        </is>
      </c>
      <c r="I36" s="709" t="inlineStr">
        <is>
          <t>Yes</t>
        </is>
      </c>
      <c r="J36" s="60" t="inlineStr">
        <is>
          <t>flows/multimedia/image_resize_21_24_none_resize.yaml</t>
        </is>
      </c>
      <c r="K36" s="60" t="n"/>
      <c r="L36" s="60" t="n"/>
      <c r="M36" s="60" t="n"/>
      <c r="N36" s="60" t="n"/>
      <c r="O36" s="60" t="n"/>
      <c r="P36" s="60" t="n"/>
      <c r="Q36" s="60" t="n"/>
      <c r="R36" s="60" t="n"/>
      <c r="S36" s="60" t="n"/>
      <c r="T36" s="60" t="n"/>
      <c r="U36" s="60" t="n"/>
      <c r="V36" s="60" t="n"/>
      <c r="W36" s="60" t="n"/>
      <c r="X36" s="60" t="n"/>
      <c r="Y36" s="60" t="n"/>
      <c r="Z36" s="60" t="n"/>
    </row>
    <row r="37">
      <c r="A37" s="284" t="inlineStr">
        <is>
          <t>Image Resize 23</t>
        </is>
      </c>
      <c r="B37" s="468" t="inlineStr">
        <is>
          <t>View Wide Image Form</t>
        </is>
      </c>
      <c r="C37" s="468" t="inlineStr">
        <is>
          <t>1. Select the "Wide Image" form
2. Navigate through the form, making selections or entering values as instructed, verifying there are no errors
3. Verify the image(s) are not distorted throughout the form when the device is vertical or the orientation is horizontal
4. Save and exit the form, and verify you're returned to the form list</t>
        </is>
      </c>
      <c r="D37" s="387" t="n"/>
      <c r="E37" s="521" t="inlineStr">
        <is>
          <t>Partial: same as Image Resize 21 - navigation/presence only, not pixel-size verification.</t>
        </is>
      </c>
      <c r="F37" s="521" t="n"/>
      <c r="G37" s="60" t="n"/>
      <c r="H37" s="60" t="inlineStr">
        <is>
          <t>Partial</t>
        </is>
      </c>
      <c r="I37" s="709" t="inlineStr">
        <is>
          <t>Yes</t>
        </is>
      </c>
      <c r="J37" s="60" t="inlineStr">
        <is>
          <t>flows/multimedia/image_resize_21_24_none_resize.yaml</t>
        </is>
      </c>
      <c r="K37" s="60" t="n"/>
      <c r="L37" s="60" t="n"/>
      <c r="M37" s="60" t="n"/>
      <c r="N37" s="60" t="n"/>
      <c r="O37" s="60" t="n"/>
      <c r="P37" s="60" t="n"/>
      <c r="Q37" s="60" t="n"/>
      <c r="R37" s="60" t="n"/>
      <c r="S37" s="60" t="n"/>
      <c r="T37" s="60" t="n"/>
      <c r="U37" s="60" t="n"/>
      <c r="V37" s="60" t="n"/>
      <c r="W37" s="60" t="n"/>
      <c r="X37" s="60" t="n"/>
      <c r="Y37" s="60" t="n"/>
      <c r="Z37" s="60" t="n"/>
    </row>
    <row r="38">
      <c r="A38" s="284" t="inlineStr">
        <is>
          <t>Image Resize 24</t>
        </is>
      </c>
      <c r="B38" s="468" t="inlineStr">
        <is>
          <t>View Tall Image Form</t>
        </is>
      </c>
      <c r="C38" s="468" t="inlineStr">
        <is>
          <t>1. Select the "Wide Image" form
2. Navigate through the form, making selections or entering values as instructed, verifying there are no errors
3. Verify the image(s) are not distorted throughout the form when the device is vertical or the orientation is horizontal
4. Save and exit the form, and verify you're returned to the form list</t>
        </is>
      </c>
      <c r="D38" s="387" t="n"/>
      <c r="E38" s="521" t="inlineStr">
        <is>
          <t>Partial: same as Image Resize 21 - navigation/presence only, not pixel-size verification.</t>
        </is>
      </c>
      <c r="F38" s="521" t="n"/>
      <c r="G38" s="60" t="n"/>
      <c r="H38" s="60" t="inlineStr">
        <is>
          <t>Partial</t>
        </is>
      </c>
      <c r="I38" s="709" t="inlineStr">
        <is>
          <t>Yes</t>
        </is>
      </c>
      <c r="J38" s="60" t="inlineStr">
        <is>
          <t>flows/multimedia/image_resize_21_24_none_resize.yaml</t>
        </is>
      </c>
      <c r="K38" s="60" t="n"/>
      <c r="L38" s="60" t="n"/>
      <c r="M38" s="60" t="n"/>
      <c r="N38" s="60" t="n"/>
      <c r="O38" s="60" t="n"/>
      <c r="P38" s="60" t="n"/>
      <c r="Q38" s="60" t="n"/>
      <c r="R38" s="60" t="n"/>
      <c r="S38" s="60" t="n"/>
      <c r="T38" s="60" t="n"/>
      <c r="U38" s="60" t="n"/>
      <c r="V38" s="60" t="n"/>
      <c r="W38" s="60" t="n"/>
      <c r="X38" s="60" t="n"/>
      <c r="Y38" s="60" t="n"/>
      <c r="Z38" s="60" t="n"/>
    </row>
    <row r="39">
      <c r="A39" s="387" t="inlineStr">
        <is>
          <t>Image Resize 25</t>
        </is>
      </c>
      <c r="B39" s="389" t="inlineStr">
        <is>
          <t>Small/medium/large image, photo taken</t>
        </is>
      </c>
      <c r="C39" s="389" t="inlineStr">
        <is>
          <t>1. On mobile, access menu ' Multimedia' and form 'Image Resize'
2. Take a picture for each question (ideally, the photo should be of the same object at the same distance)
3. Submit the form</t>
        </is>
      </c>
      <c r="D39" s="387" t="n"/>
      <c r="E39" s="296" t="inlineStr">
        <is>
          <t>Partial: real camera capture confirmed flaky/unsupported on most BrowserStack device images (flows/multimedia/image_resize_25_photo_taken.yaml flags this explicitly, same caveat as Photo 1) - best-effort, not fully reliable.</t>
        </is>
      </c>
      <c r="F39" s="296" t="n"/>
      <c r="G39" s="311" t="n"/>
      <c r="H39" s="311" t="inlineStr">
        <is>
          <t>Partial</t>
        </is>
      </c>
      <c r="I39" s="708" t="inlineStr">
        <is>
          <t>Yes</t>
        </is>
      </c>
      <c r="J39" s="311" t="inlineStr">
        <is>
          <t>flows/multimedia/image_resize_25_photo_taken.yaml</t>
        </is>
      </c>
      <c r="K39" s="311" t="n"/>
      <c r="L39" s="311" t="n"/>
      <c r="M39" s="311" t="n"/>
      <c r="N39" s="311" t="n"/>
      <c r="O39" s="311" t="n"/>
      <c r="P39" s="311" t="n"/>
      <c r="Q39" s="311" t="n"/>
      <c r="R39" s="311" t="n"/>
      <c r="S39" s="311" t="n"/>
      <c r="T39" s="311" t="n"/>
      <c r="U39" s="311" t="n"/>
      <c r="V39" s="311" t="n"/>
      <c r="W39" s="311" t="n"/>
      <c r="X39" s="311" t="n"/>
      <c r="Y39" s="311" t="n"/>
      <c r="Z39" s="311" t="n"/>
    </row>
    <row r="40">
      <c r="A40" s="387" t="inlineStr">
        <is>
          <t>Image Resize 26</t>
        </is>
      </c>
      <c r="B40" s="389" t="inlineStr">
        <is>
          <t>Small/medium/large image, photo chosen</t>
        </is>
      </c>
      <c r="C40" s="389" t="inlineStr">
        <is>
          <t>1. On mobile, access menu ' Multimedia' and form 'Image Resize'
2. Progress through the form, using 'Choose Image' and select the same image for all four questions
3. Submit the form</t>
        </is>
      </c>
      <c r="D40" s="387" t="n"/>
      <c r="E40" s="296" t="n"/>
      <c r="F40" s="296" t="n"/>
      <c r="G40" s="311" t="n"/>
      <c r="H40" s="311" t="inlineStr">
        <is>
          <t>Automatable</t>
        </is>
      </c>
      <c r="I40" s="708" t="inlineStr">
        <is>
          <t>Yes</t>
        </is>
      </c>
      <c r="J40" s="311" t="inlineStr">
        <is>
          <t>flows/multimedia/image_resize_26_photo_chosen.yaml</t>
        </is>
      </c>
      <c r="K40" s="311" t="n"/>
      <c r="L40" s="311" t="n"/>
      <c r="M40" s="311" t="n"/>
      <c r="N40" s="311" t="n"/>
      <c r="O40" s="311" t="n"/>
      <c r="P40" s="311" t="n"/>
      <c r="Q40" s="311" t="n"/>
      <c r="R40" s="311" t="n"/>
      <c r="S40" s="311" t="n"/>
      <c r="T40" s="311" t="n"/>
      <c r="U40" s="311" t="n"/>
      <c r="V40" s="311" t="n"/>
      <c r="W40" s="311" t="n"/>
      <c r="X40" s="311" t="n"/>
      <c r="Y40" s="311" t="n"/>
      <c r="Z40" s="311" t="n"/>
    </row>
    <row r="41">
      <c r="A41" s="387" t="inlineStr">
        <is>
          <t>Image Resize 27</t>
        </is>
      </c>
      <c r="B41" s="389" t="inlineStr">
        <is>
          <t>Take Picture verification</t>
        </is>
      </c>
      <c r="C41" s="389" t="inlineStr">
        <is>
          <t>1. Return to CommCareHQ --&gt; Reports and access the Submit History report
2. Locate your form submission from Image Resize 25
3. Select View Form for the submission in MM7
4. Verify the the answers to questions are .jpg files.
5. There should also be an Attachment tab. Select this tab.
6. Verify you can download the attachments on this tab.
7. Verify the image is sized as expected for each of the four questions (small, medium, large, original)</t>
        </is>
      </c>
      <c r="D41" s="387" t="n"/>
      <c r="E41" s="296" t="inlineStr">
        <is>
          <t>Step 6 ("verify you can download the attachments") closed 2026-09-07 via scripts/run_multimedia_form_data_check.py --check-type attachments (new HQClient.get_form_attachments(), parses the real #form-attachments tab, confirms each attachment is present with a real non-zero Content-Length). Step 7 ("verify the image is sized as expected... small/medium/large/original") stays NOT verifiable: confirmed live against a real submission that every question's attachment came back byte-identical (75 bytes) since BrowserStack test devices all pick the same tiny placeholder gallery image - no real resize-magnitude signal exists to assert on with this test asset, same class of limitation as the sibling Image Resize rows.</t>
        </is>
      </c>
      <c r="F41" s="296" t="n"/>
      <c r="G41" s="311" t="n"/>
      <c r="H41" s="311" t="inlineStr">
        <is>
          <t>Partial</t>
        </is>
      </c>
      <c r="I41" s="678" t="inlineStr">
        <is>
          <t>Yes</t>
        </is>
      </c>
      <c r="J41" s="311" t="inlineStr">
        <is>
          <t>flows/multimedia/image_resize_25_photo_taken.yaml + scripts/run_multimedia_form_data_check.py</t>
        </is>
      </c>
      <c r="K41" s="311" t="n"/>
      <c r="L41" s="311" t="n"/>
      <c r="M41" s="311" t="n"/>
      <c r="N41" s="311" t="n"/>
      <c r="O41" s="311" t="n"/>
      <c r="P41" s="311" t="n"/>
      <c r="Q41" s="311" t="n"/>
      <c r="R41" s="311" t="n"/>
      <c r="S41" s="311" t="n"/>
      <c r="T41" s="311" t="n"/>
      <c r="U41" s="311" t="n"/>
      <c r="V41" s="311" t="n"/>
      <c r="W41" s="311" t="n"/>
      <c r="X41" s="311" t="n"/>
      <c r="Y41" s="311" t="n"/>
      <c r="Z41" s="311" t="n"/>
    </row>
    <row r="42">
      <c r="A42" s="387" t="inlineStr">
        <is>
          <t>Image Resize 28</t>
        </is>
      </c>
      <c r="B42" s="296" t="inlineStr">
        <is>
          <t>Choose Image verification</t>
        </is>
      </c>
      <c r="C42" s="389" t="inlineStr">
        <is>
          <t>1. Return to CommCareHQ --&gt; Reports and access the Submit History report
2. Locate your form submission from Image Resize 26
3. Select View Form for the submission in MM7
4. Verify the the answers to questions are .jpg files.
5. There should also be an Attachment tab. Select this tab.
6. Verify you can download the attachments on this tab.
7. Verify the image is sized as expected for each of the four questions (small, medium, large, original)</t>
        </is>
      </c>
      <c r="D42" s="387" t="n"/>
      <c r="E42" s="296" t="inlineStr">
        <is>
          <t>Step 6 ("verify you can download the attachments") closed 2026-09-07 via scripts/run_multimedia_form_data_check.py --check-type attachments (new HQClient.get_form_attachments(), parses the real #form-attachments tab, confirms each attachment is present with a real non-zero Content-Length). Step 7 ("verify the image is sized as expected... small/medium/large/original") stays NOT verifiable: confirmed live against a real submission that every question's attachment came back byte-identical (75 bytes) since BrowserStack test devices all pick the same tiny placeholder gallery image - no real resize-magnitude signal exists to assert on with this test asset, same class of limitation as the sibling Image Resize rows.</t>
        </is>
      </c>
      <c r="F42" s="296" t="n"/>
      <c r="G42" s="311" t="n"/>
      <c r="H42" s="311" t="inlineStr">
        <is>
          <t>Partial</t>
        </is>
      </c>
      <c r="I42" s="678" t="inlineStr">
        <is>
          <t>Yes</t>
        </is>
      </c>
      <c r="J42" s="311" t="inlineStr">
        <is>
          <t>flows/multimedia/image_resize_26_photo_chosen.yaml + scripts/run_multimedia_form_data_check.py</t>
        </is>
      </c>
      <c r="K42" s="311" t="n"/>
      <c r="L42" s="311" t="n"/>
      <c r="M42" s="311" t="n"/>
      <c r="N42" s="311" t="n"/>
      <c r="O42" s="311" t="n"/>
      <c r="P42" s="311" t="n"/>
      <c r="Q42" s="311" t="n"/>
      <c r="R42" s="311" t="n"/>
      <c r="S42" s="311" t="n"/>
      <c r="T42" s="311" t="n"/>
      <c r="U42" s="311" t="n"/>
      <c r="V42" s="311" t="n"/>
      <c r="W42" s="311" t="n"/>
      <c r="X42" s="311" t="n"/>
      <c r="Y42" s="311" t="n"/>
      <c r="Z42" s="311" t="n"/>
    </row>
    <row r="43">
      <c r="A43" s="296" t="inlineStr">
        <is>
          <t>Video Types</t>
        </is>
      </c>
      <c r="B43" s="296" t="inlineStr">
        <is>
          <t>Verify videos</t>
        </is>
      </c>
      <c r="C43" s="389" t="inlineStr">
        <is>
          <t>1. On mobile, access 'Multimedia' and form 'Video Type'
2. Verify the standard video allows you to choose your media player
3. Verify inline plays the video in the app</t>
        </is>
      </c>
      <c r="D43" s="387" t="n"/>
      <c r="E43" s="296" t="inlineStr">
        <is>
          <t>Not automatable: requires actually watching video playback behave correctly (external media-player chooser vs. inline playback) - a visual/media-rendering judgment call, same class of human-judgment-only gap as this tab's own audio-plays-correctly checks.</t>
        </is>
      </c>
      <c r="F43" s="296" t="n"/>
      <c r="G43" s="311" t="n"/>
      <c r="H43" s="311" t="inlineStr">
        <is>
          <t>Not automatable</t>
        </is>
      </c>
      <c r="I43" s="678" t="inlineStr">
        <is>
          <t>N/A</t>
        </is>
      </c>
      <c r="J43" s="311" t="n"/>
      <c r="K43" s="311" t="n"/>
      <c r="L43" s="311" t="n"/>
      <c r="M43" s="311" t="n"/>
      <c r="N43" s="311" t="n"/>
      <c r="O43" s="311" t="n"/>
      <c r="P43" s="311" t="n"/>
      <c r="Q43" s="311" t="n"/>
      <c r="R43" s="311" t="n"/>
      <c r="S43" s="311" t="n"/>
      <c r="T43" s="311" t="n"/>
      <c r="U43" s="311" t="n"/>
      <c r="V43" s="311" t="n"/>
      <c r="W43" s="311" t="n"/>
      <c r="X43" s="311" t="n"/>
      <c r="Y43" s="311" t="n"/>
      <c r="Z43" s="311" t="n"/>
    </row>
    <row r="44">
      <c r="A44" s="296" t="inlineStr">
        <is>
          <t>Gif</t>
        </is>
      </c>
      <c r="B44" s="296" t="inlineStr">
        <is>
          <t>Can add Gif</t>
        </is>
      </c>
      <c r="C44" s="389" t="inlineStr">
        <is>
          <t>1. On mobile, access 'Multimedia' and form 'Gif/Remove Image'
2. Ensure the first question displays a gif</t>
        </is>
      </c>
      <c r="D44" s="387" t="n"/>
      <c r="E44" s="296" t="inlineStr">
        <is>
          <t>Partial: automated (flows/multimedia/gif_can_add_gif.yaml) for the gif's presence; whether it's actually animating (vs. a static frame) is a human judgment call, deliberately skipped per coverage_matrix.csv.</t>
        </is>
      </c>
      <c r="F44" s="296" t="n"/>
      <c r="G44" s="311" t="n"/>
      <c r="H44" s="311" t="inlineStr">
        <is>
          <t>Partial</t>
        </is>
      </c>
      <c r="I44" s="708" t="inlineStr">
        <is>
          <t>Yes</t>
        </is>
      </c>
      <c r="J44" s="311" t="inlineStr">
        <is>
          <t>flows/multimedia/gif_can_add_gif.yaml</t>
        </is>
      </c>
      <c r="K44" s="311" t="n"/>
      <c r="L44" s="311" t="n"/>
      <c r="M44" s="311" t="n"/>
      <c r="N44" s="311" t="n"/>
      <c r="O44" s="311" t="n"/>
      <c r="P44" s="311" t="n"/>
      <c r="Q44" s="311" t="n"/>
      <c r="R44" s="311" t="n"/>
      <c r="S44" s="311" t="n"/>
      <c r="T44" s="311" t="n"/>
      <c r="U44" s="311" t="n"/>
      <c r="V44" s="311" t="n"/>
      <c r="W44" s="311" t="n"/>
      <c r="X44" s="311" t="n"/>
      <c r="Y44" s="311" t="n"/>
      <c r="Z44" s="311" t="n"/>
    </row>
    <row r="45">
      <c r="A45" s="296" t="inlineStr">
        <is>
          <t>Photo 1</t>
        </is>
      </c>
      <c r="B45" s="296" t="inlineStr">
        <is>
          <t>Can remove taken photo</t>
        </is>
      </c>
      <c r="C45" s="389" t="inlineStr">
        <is>
          <t>1. Continuing from previous test case 
(On mobile, access 'Multimedia' and form 'Gif/Remove Image')
2. Progress to the question 'Take a photo' and take a picture
3. Ensure there's a remove image button
4. Select Remove Image
5. Verify the button disappears</t>
        </is>
      </c>
      <c r="D45" s="387" t="n"/>
      <c r="E45" s="296" t="inlineStr">
        <is>
          <t>Partial: real camera capture confirmed flaky/unsupported on most BrowserStack device images - same caveat as Image Resize 25 (flows/multimedia/photo_01_can_remove_taken_photo.yaml).</t>
        </is>
      </c>
      <c r="F45" s="296" t="n"/>
      <c r="G45" s="311" t="n"/>
      <c r="H45" s="311" t="inlineStr">
        <is>
          <t>Partial</t>
        </is>
      </c>
      <c r="I45" s="708" t="inlineStr">
        <is>
          <t>Yes</t>
        </is>
      </c>
      <c r="J45" s="311" t="inlineStr">
        <is>
          <t>flows/multimedia/photo_01_can_remove_taken_photo.yaml</t>
        </is>
      </c>
      <c r="K45" s="311" t="n"/>
      <c r="L45" s="311" t="n"/>
      <c r="M45" s="311" t="n"/>
      <c r="N45" s="311" t="n"/>
      <c r="O45" s="311" t="n"/>
      <c r="P45" s="311" t="n"/>
      <c r="Q45" s="311" t="n"/>
      <c r="R45" s="311" t="n"/>
      <c r="S45" s="311" t="n"/>
      <c r="T45" s="311" t="n"/>
      <c r="U45" s="311" t="n"/>
      <c r="V45" s="311" t="n"/>
      <c r="W45" s="311" t="n"/>
      <c r="X45" s="311" t="n"/>
      <c r="Y45" s="311" t="n"/>
      <c r="Z45" s="311" t="n"/>
    </row>
    <row r="46">
      <c r="A46" s="296" t="inlineStr">
        <is>
          <t>Photo 2</t>
        </is>
      </c>
      <c r="B46" s="296" t="inlineStr">
        <is>
          <t>Can remove chosen photo</t>
        </is>
      </c>
      <c r="C46" s="389" t="inlineStr">
        <is>
          <t>1. Continuing from previous test case 
(On mobile, access 'Multimedia' and form 'Gif/Remove Image')
2. Progress to the question 'Choose Image' and select a picture
3. Ensure there's a remove image button
4. Select Remove Image
5. Verify the button disappears
Submit the form</t>
        </is>
      </c>
      <c r="D46" s="387" t="n"/>
      <c r="E46" s="296" t="n"/>
      <c r="F46" s="296" t="n"/>
      <c r="G46" s="311" t="n"/>
      <c r="H46" s="311" t="inlineStr">
        <is>
          <t>Automatable</t>
        </is>
      </c>
      <c r="I46" s="708" t="inlineStr">
        <is>
          <t>Yes</t>
        </is>
      </c>
      <c r="J46" s="311" t="inlineStr">
        <is>
          <t>flows/multimedia/photo_02_can_remove_chosen_photo.yaml</t>
        </is>
      </c>
      <c r="K46" s="311" t="n"/>
      <c r="L46" s="311" t="n"/>
      <c r="M46" s="311" t="n"/>
      <c r="N46" s="311" t="n"/>
      <c r="O46" s="311" t="n"/>
      <c r="P46" s="311" t="n"/>
      <c r="Q46" s="311" t="n"/>
      <c r="R46" s="311" t="n"/>
      <c r="S46" s="311" t="n"/>
      <c r="T46" s="311" t="n"/>
      <c r="U46" s="311" t="n"/>
      <c r="V46" s="311" t="n"/>
      <c r="W46" s="311" t="n"/>
      <c r="X46" s="311" t="n"/>
      <c r="Y46" s="311" t="n"/>
      <c r="Z46" s="311" t="n"/>
    </row>
    <row r="47">
      <c r="A47" s="296" t="inlineStr">
        <is>
          <t>Photo Verification</t>
        </is>
      </c>
      <c r="B47" s="296" t="inlineStr">
        <is>
          <t>Verify images are not present</t>
        </is>
      </c>
      <c r="C47" s="389" t="inlineStr">
        <is>
          <t>1. Navigate to the Submit History Report (linked)
2. Find your submission from Photo 2
3. Ensure that on the form data page, there is no data (i.e. the question appears unawnswered) for questions 'Take a photo' and 'Choose Image'</t>
        </is>
      </c>
      <c r="D47" s="387" t="n"/>
      <c r="E47" s="296" t="inlineStr">
        <is>
          <t>Steps 1-2 (on-device submit) already automated in photo_02_can_remove_chosen_photo.yaml. Step 3 closed 2026-09-07 via scripts/run_multimedia_form_data_check.py --check-type unanswered --form-path-contains "Gif/Remove Image" --expect-unanswered "Take a photo" --expect-unanswered "Choose Image" (new HQClient.get_form_answers(), parses the real Question/Response table on the Form Data page - confirmed live both questions show blank).</t>
        </is>
      </c>
      <c r="F47" s="296" t="n"/>
      <c r="G47" s="311" t="n"/>
      <c r="H47" s="311" t="inlineStr">
        <is>
          <t>Automatable</t>
        </is>
      </c>
      <c r="I47" s="678" t="inlineStr">
        <is>
          <t>Yes</t>
        </is>
      </c>
      <c r="J47" s="311" t="inlineStr">
        <is>
          <t>flows/multimedia/photo_02_can_remove_chosen_photo.yaml + scripts/run_multimedia_form_data_check.py</t>
        </is>
      </c>
      <c r="K47" s="311" t="n"/>
      <c r="L47" s="311" t="n"/>
      <c r="M47" s="311" t="n"/>
      <c r="N47" s="311" t="n"/>
      <c r="O47" s="311" t="n"/>
      <c r="P47" s="311" t="n"/>
      <c r="Q47" s="311" t="n"/>
      <c r="R47" s="311" t="n"/>
      <c r="S47" s="311" t="n"/>
      <c r="T47" s="311" t="n"/>
      <c r="U47" s="311" t="n"/>
      <c r="V47" s="311" t="n"/>
      <c r="W47" s="311" t="n"/>
      <c r="X47" s="311" t="n"/>
      <c r="Y47" s="311" t="n"/>
      <c r="Z47" s="311" t="n"/>
    </row>
    <row r="48" ht="165" customHeight="1" s="629">
      <c r="A48" s="389" t="inlineStr">
        <is>
          <t>Image Compatibility</t>
        </is>
      </c>
      <c r="B48" s="389" t="inlineStr">
        <is>
          <t>Image Compatibility on Multiple Devices</t>
        </is>
      </c>
      <c r="C48" s="389" t="inlineStr">
        <is>
          <t>1. Navigate to the "Multimedia" Application
2. Navigate to "Settings" on the left
3. Click Advanced Settings, "Android Settings" and change "Image Compatibility on Multiple Devices" to "Low Density"
4. Click "Save"
5. Go to the Release Manager and make a new version of the app
6. Install the new version of the application on a low end phone (include multimedia in your install)
7. Verify that the images appear with a low density
8. Install the new version of the application on a high end phone (include multimedia in your install)
9. Verify that the images appear with a low density there as well.</t>
        </is>
      </c>
      <c r="D48" s="387" t="n"/>
      <c r="E48" s="296" t="inlineStr">
        <is>
          <t>Not automatable: requires visually comparing image density/appearance across a specific 'low end' vs 'high end' physical device pair - BrowserStack's device pool is named specific models, not officially tiered low/high end, and the actual check is a pixel/visual-rendering judgment this stack has no assertion path for.</t>
        </is>
      </c>
      <c r="F48" s="296" t="n"/>
      <c r="G48" s="311" t="n"/>
      <c r="H48" s="311" t="inlineStr">
        <is>
          <t>Not automatable</t>
        </is>
      </c>
      <c r="I48" s="678" t="inlineStr">
        <is>
          <t>N/A</t>
        </is>
      </c>
      <c r="J48" s="311" t="n"/>
      <c r="K48" s="311" t="n"/>
      <c r="L48" s="311" t="n"/>
      <c r="M48" s="311" t="n"/>
      <c r="N48" s="311" t="n"/>
      <c r="O48" s="311" t="n"/>
      <c r="P48" s="311" t="n"/>
      <c r="Q48" s="311" t="n"/>
      <c r="R48" s="311" t="n"/>
      <c r="S48" s="311" t="n"/>
      <c r="T48" s="311" t="n"/>
      <c r="U48" s="311" t="n"/>
      <c r="V48" s="311" t="n"/>
      <c r="W48" s="311" t="n"/>
      <c r="X48" s="311" t="n"/>
      <c r="Y48" s="311" t="n"/>
      <c r="Z48" s="311" t="n"/>
    </row>
    <row r="49" ht="111.75" customHeight="1" s="629">
      <c r="A49" s="296" t="inlineStr">
        <is>
          <t>Logo 1</t>
        </is>
      </c>
      <c r="B49" s="296" t="inlineStr">
        <is>
          <t>Login Logo</t>
        </is>
      </c>
      <c r="C49" s="389" t="inlineStr">
        <is>
          <t>1. Go to the login screen
2. On the top verify that the dimagi's logo is displayed inthe top of the Login Screen</t>
        </is>
      </c>
      <c r="D49" s="387" t="n"/>
      <c r="E49" s="296" t="n"/>
      <c r="F49" s="296" t="n"/>
      <c r="G49" s="311" t="n"/>
      <c r="H49" s="311" t="inlineStr">
        <is>
          <t>Automatable</t>
        </is>
      </c>
      <c r="I49" s="708" t="inlineStr">
        <is>
          <t>Yes</t>
        </is>
      </c>
      <c r="J49" s="311" t="inlineStr">
        <is>
          <t>flows/multimedia/logo_01_login_logo.yaml</t>
        </is>
      </c>
      <c r="K49" s="311" t="n"/>
      <c r="L49" s="311" t="n"/>
      <c r="M49" s="311" t="n"/>
      <c r="N49" s="311" t="n"/>
      <c r="O49" s="311" t="n"/>
      <c r="P49" s="311" t="n"/>
      <c r="Q49" s="311" t="n"/>
      <c r="R49" s="311" t="n"/>
      <c r="S49" s="311" t="n"/>
      <c r="T49" s="311" t="n"/>
      <c r="U49" s="311" t="n"/>
      <c r="V49" s="311" t="n"/>
      <c r="W49" s="311" t="n"/>
      <c r="X49" s="311" t="n"/>
      <c r="Y49" s="311" t="n"/>
      <c r="Z49" s="311" t="n"/>
    </row>
    <row r="50" ht="111.75" customHeight="1" s="629">
      <c r="A50" s="296" t="inlineStr">
        <is>
          <t>Logo 2</t>
        </is>
      </c>
      <c r="B50" s="296" t="inlineStr">
        <is>
          <t>CommCare Home Screen Logo</t>
        </is>
      </c>
      <c r="C50" s="389" t="inlineStr">
        <is>
          <t>1.Login and go to the Home Screen
2. On the top verify that the dimagi's logo is displayed inthe top of the Home Screen</t>
        </is>
      </c>
      <c r="D50" s="387" t="n"/>
      <c r="E50" s="296" t="n"/>
      <c r="F50" s="296" t="n"/>
      <c r="G50" s="311" t="n"/>
      <c r="H50" s="311" t="inlineStr">
        <is>
          <t>Automatable</t>
        </is>
      </c>
      <c r="I50" s="708" t="inlineStr">
        <is>
          <t>Yes</t>
        </is>
      </c>
      <c r="J50" s="311" t="inlineStr">
        <is>
          <t>flows/multimedia/logo_02_home_screen_logo.yaml</t>
        </is>
      </c>
      <c r="K50" s="311" t="n"/>
      <c r="L50" s="311" t="n"/>
      <c r="M50" s="311" t="n"/>
      <c r="N50" s="311" t="n"/>
      <c r="O50" s="311" t="n"/>
      <c r="P50" s="311" t="n"/>
      <c r="Q50" s="311" t="n"/>
      <c r="R50" s="311" t="n"/>
      <c r="S50" s="311" t="n"/>
      <c r="T50" s="311" t="n"/>
      <c r="U50" s="311" t="n"/>
      <c r="V50" s="311" t="n"/>
      <c r="W50" s="311" t="n"/>
      <c r="X50" s="311" t="n"/>
      <c r="Y50" s="311" t="n"/>
      <c r="Z50" s="311" t="n"/>
    </row>
    <row r="51">
      <c r="A51" s="296" t="inlineStr">
        <is>
          <t>Logo 3</t>
        </is>
      </c>
      <c r="B51" s="296" t="inlineStr">
        <is>
          <t>Demo Logo</t>
        </is>
      </c>
      <c r="C51" s="389" t="inlineStr">
        <is>
          <t>1. Login as user demo/123
2. On the top verify that the dimagi's logo is displayed inthe top of the Screen in demo mode</t>
        </is>
      </c>
      <c r="D51" s="387" t="n"/>
      <c r="E51" s="296" t="n"/>
      <c r="F51" s="296" t="n"/>
      <c r="G51" s="311" t="n"/>
      <c r="H51" s="311" t="inlineStr">
        <is>
          <t>Automatable</t>
        </is>
      </c>
      <c r="I51" s="708" t="inlineStr">
        <is>
          <t>Yes</t>
        </is>
      </c>
      <c r="J51" s="311" t="inlineStr">
        <is>
          <t>flows/multimedia/logo_03_demo_logo.yaml</t>
        </is>
      </c>
      <c r="K51" s="311" t="n"/>
      <c r="L51" s="311" t="n"/>
      <c r="M51" s="311" t="n"/>
      <c r="N51" s="311" t="n"/>
      <c r="O51" s="311" t="n"/>
      <c r="P51" s="311" t="n"/>
      <c r="Q51" s="311" t="n"/>
      <c r="R51" s="311" t="n"/>
      <c r="S51" s="311" t="n"/>
      <c r="T51" s="311" t="n"/>
      <c r="U51" s="311" t="n"/>
      <c r="V51" s="311" t="n"/>
      <c r="W51" s="311" t="n"/>
      <c r="X51" s="311" t="n"/>
      <c r="Y51" s="311" t="n"/>
      <c r="Z51" s="311" t="n"/>
    </row>
    <row r="52">
      <c r="A52" s="296" t="inlineStr">
        <is>
          <t>Media 1</t>
        </is>
      </c>
      <c r="B52" s="389" t="inlineStr">
        <is>
          <t>Open media capture using external app</t>
        </is>
      </c>
      <c r="C52" s="389" t="inlineStr">
        <is>
          <t>1. Open Media capture menu
2. Attach a file in record audio question either using record or choose
3. Click on play audio
4. Choose an external app to play 
5. Enusre that the audio you attached plays successfully
6. Attach a file in record video question either using record or choose 
7. Click on play video
8. Choose an external app to play 
9. Enusre that the video you attached plays successfully
10. Attach a file in image capture question either using take picture or choose 
11. Click on the image
12. Choose an external app to view 
13. Enusre that the image you attached opens successfully</t>
        </is>
      </c>
      <c r="D52" s="387" t="n"/>
      <c r="E52" s="296" t="inlineStr">
        <is>
          <t>Not automatable: requires picking a third-party app from Android's share/intent chooser to play or view attached media - installing/selecting an arbitrary third-party app with no internal APK source is a confirmed hard limit of this pipeline (same class of gap as Third Party Scanner).</t>
        </is>
      </c>
      <c r="F52" s="296" t="n"/>
      <c r="G52" s="311" t="n"/>
      <c r="H52" s="311" t="inlineStr">
        <is>
          <t>Not automatable</t>
        </is>
      </c>
      <c r="I52" s="678" t="inlineStr">
        <is>
          <t>N/A</t>
        </is>
      </c>
      <c r="J52" s="311" t="n"/>
      <c r="K52" s="311" t="n"/>
      <c r="L52" s="311" t="n"/>
      <c r="M52" s="311" t="n"/>
      <c r="N52" s="311" t="n"/>
      <c r="O52" s="311" t="n"/>
      <c r="P52" s="311" t="n"/>
      <c r="Q52" s="311" t="n"/>
      <c r="R52" s="311" t="n"/>
      <c r="S52" s="311" t="n"/>
      <c r="T52" s="311" t="n"/>
      <c r="U52" s="311" t="n"/>
      <c r="V52" s="311" t="n"/>
      <c r="W52" s="311" t="n"/>
      <c r="X52" s="311" t="n"/>
      <c r="Y52" s="311" t="n"/>
      <c r="Z52" s="311" t="n"/>
    </row>
    <row r="53">
      <c r="A53" s="296" t="inlineStr">
        <is>
          <t>Media 2</t>
        </is>
      </c>
      <c r="B53" s="389" t="inlineStr">
        <is>
          <t xml:space="preserve">Media Capture and Select </t>
        </is>
      </c>
      <c r="C53" s="389" t="inlineStr">
        <is>
          <t>1. Go to app's Advanced Settings &gt; Custom Properties
2. Ensure that no custom properties have been added. Remove if there are any. and install the new version of the app.
3. Submit the Media Capture form by attaching media to all questions. Ensure that you submit one form by recording audio/recording video/taking picture and the other by choosing an existing one from device
4. Sync the app</t>
        </is>
      </c>
      <c r="D53" s="387" t="n"/>
      <c r="E53" s="296" t="inlineStr">
        <is>
          <t>Partial: the 'no custom properties present' precondition is an HQ inspection step out of scope here (per coverage_matrix.csv); the actual capture-and-select-and-submit steps are automated (flows/multimedia/media_02_capture_and_select.yaml).</t>
        </is>
      </c>
      <c r="F53" s="296" t="n"/>
      <c r="G53" s="311" t="n"/>
      <c r="H53" s="311" t="inlineStr">
        <is>
          <t>Partial</t>
        </is>
      </c>
      <c r="I53" s="708" t="inlineStr">
        <is>
          <t>Yes</t>
        </is>
      </c>
      <c r="J53" s="311" t="inlineStr">
        <is>
          <t>flows/multimedia/media_02_capture_and_select.yaml</t>
        </is>
      </c>
      <c r="K53" s="311" t="n"/>
      <c r="L53" s="311" t="n"/>
      <c r="M53" s="311" t="n"/>
      <c r="N53" s="311" t="n"/>
      <c r="O53" s="311" t="n"/>
      <c r="P53" s="311" t="n"/>
      <c r="Q53" s="311" t="n"/>
      <c r="R53" s="311" t="n"/>
      <c r="S53" s="311" t="n"/>
      <c r="T53" s="311" t="n"/>
      <c r="U53" s="311" t="n"/>
      <c r="V53" s="311" t="n"/>
      <c r="W53" s="311" t="n"/>
      <c r="X53" s="311" t="n"/>
      <c r="Y53" s="311" t="n"/>
      <c r="Z53" s="311" t="n"/>
    </row>
    <row r="54">
      <c r="A54" s="296" t="inlineStr">
        <is>
          <t>Media 3</t>
        </is>
      </c>
      <c r="B54" s="311" t="inlineStr">
        <is>
          <t>Encrypted Multimedia</t>
        </is>
      </c>
      <c r="C54" s="387" t="inlineStr">
        <is>
          <t>1. Continuing from above, open file manager on your device
2. For the form you just submitted, verify the media in `android/data/org.commcare.dalvik/files/app/appid/formdata/formid/` 
3. Verify the media files have .aes extension (they are encrypted)</t>
        </is>
      </c>
      <c r="D54" s="387" t="n"/>
      <c r="E54" s="296" t="inlineStr">
        <is>
          <t>Structurally not automatable via this repo's Maestro/BrowserStack pipeline: verifying a .aes extension requires filesystem access from inside the app process (opening a device file manager at android/data/.../formdata/&lt;id&gt;/), which the QA app under test has no way to expose to Maestro. Real automated coverage of this exact behavior already exists elsewhere: commcare-android repo, app/instrumentation-tests/src/org/commcare/androidTests/MediaEncryptionTest.kt, testImageEncryption()/testAudioEncryption() (Espresso, @BrowserstackTests, runs in that repo's own CI) - asserts an .aes file is present for captured media with encryption on, and absent with it off. Confirmed live 2026-09-01 by reading that file directly. Not automatable in this repo, but not an open gap either.</t>
        </is>
      </c>
      <c r="F54" s="296" t="n"/>
      <c r="G54" s="311" t="n"/>
      <c r="H54" s="311" t="inlineStr">
        <is>
          <t>Not automatable</t>
        </is>
      </c>
      <c r="I54" s="678" t="inlineStr">
        <is>
          <t>Yes (elsewhere - see Notes)</t>
        </is>
      </c>
      <c r="J54" s="311" t="n"/>
      <c r="K54" s="311" t="n"/>
      <c r="L54" s="311" t="n"/>
      <c r="M54" s="311" t="n"/>
      <c r="N54" s="311" t="n"/>
      <c r="O54" s="311" t="n"/>
      <c r="P54" s="311" t="n"/>
      <c r="Q54" s="311" t="n"/>
      <c r="R54" s="311" t="n"/>
      <c r="S54" s="311" t="n"/>
      <c r="T54" s="311" t="n"/>
      <c r="U54" s="311" t="n"/>
      <c r="V54" s="311" t="n"/>
      <c r="W54" s="311" t="n"/>
      <c r="X54" s="311" t="n"/>
      <c r="Y54" s="311" t="n"/>
      <c r="Z54" s="311" t="n"/>
    </row>
    <row r="55">
      <c r="A55" s="296" t="inlineStr">
        <is>
          <t>Media 4</t>
        </is>
      </c>
      <c r="B55" s="389" t="inlineStr">
        <is>
          <t>Submit History for Encrypted  Media</t>
        </is>
      </c>
      <c r="C55" s="389" t="inlineStr">
        <is>
          <t>1. Return to CommCareHQ --&gt; Reports and access the Submit History report
2. Locate your form submissions made in test case Media2
3. Select View Form for the submission
4. Select Attachment tab.
5. Verify you can download the attachments on this tab.
6. Verify that attachment name is the same as the answer in the XML data (This is the also the name of attachments that appears 'Saved Forms')</t>
        </is>
      </c>
      <c r="D55" s="386" t="n"/>
      <c r="E55" s="311" t="inlineStr">
        <is>
          <t>Automated: scripts/run_multimedia_form_data_check.py --check-type attachments confirms the Media 2 submission's attachments are present and downloadable via HQClient.get_form_attachments() (same mechanism already proven for Photo Verification/Image Resize 27-28). min-attachments=2, not 4, since Media 2's own flow has a best-effort video-recording step - confirmed live via a real submission that audio/image/sign reliably attach (3 of 4), video does not. Does not separately verify the "attachment name matches the XML answer" half of the sheet's own wording - out of scope, same convention as Image Resize 27/28's own citation.</t>
        </is>
      </c>
      <c r="F55" s="311" t="n"/>
      <c r="G55" s="311" t="n"/>
      <c r="H55" s="311" t="inlineStr">
        <is>
          <t>Automatable</t>
        </is>
      </c>
      <c r="I55" s="678" t="inlineStr">
        <is>
          <t>Yes</t>
        </is>
      </c>
      <c r="J55" s="311" t="inlineStr">
        <is>
          <t>scripts/run_multimedia_form_data_check.py --check-type attachments --form-path-contains "Media Capture" --min-attachments 2</t>
        </is>
      </c>
      <c r="K55" s="311" t="n"/>
      <c r="L55" s="311" t="n"/>
      <c r="M55" s="311" t="n"/>
      <c r="N55" s="311" t="n"/>
      <c r="O55" s="311" t="n"/>
      <c r="P55" s="311" t="n"/>
      <c r="Q55" s="311" t="n"/>
      <c r="R55" s="311" t="n"/>
      <c r="S55" s="311" t="n"/>
      <c r="T55" s="311" t="n"/>
      <c r="U55" s="311" t="n"/>
      <c r="V55" s="311" t="n"/>
      <c r="W55" s="311" t="n"/>
      <c r="X55" s="311" t="n"/>
      <c r="Y55" s="311" t="n"/>
      <c r="Z55" s="311" t="n"/>
    </row>
    <row r="56">
      <c r="A56" s="314" t="inlineStr">
        <is>
          <t>Multimedia Size Warning</t>
        </is>
      </c>
      <c r="G56" s="314" t="n"/>
      <c r="H56" s="314" t="n"/>
      <c r="I56" s="314" t="n"/>
      <c r="J56" s="314" t="n"/>
      <c r="K56" s="314" t="n"/>
      <c r="L56" s="314" t="n"/>
      <c r="M56" s="314" t="n"/>
      <c r="N56" s="314" t="n"/>
      <c r="O56" s="314" t="n"/>
      <c r="P56" s="314" t="n"/>
      <c r="Q56" s="314" t="n"/>
      <c r="R56" s="314" t="n"/>
      <c r="S56" s="314" t="n"/>
      <c r="T56" s="314" t="n"/>
      <c r="U56" s="314" t="n"/>
      <c r="V56" s="314" t="n"/>
      <c r="W56" s="314" t="n"/>
      <c r="X56" s="314" t="n"/>
      <c r="Y56" s="314" t="n"/>
      <c r="Z56" s="314" t="n"/>
    </row>
    <row r="57">
      <c r="A57" s="296" t="inlineStr">
        <is>
          <t>Filesize 1</t>
        </is>
      </c>
      <c r="B57" s="296" t="inlineStr">
        <is>
          <t>Trigger warning</t>
        </is>
      </c>
      <c r="C57" s="323" t="inlineStr">
        <is>
          <t>1. Install the Disabled Filesize Warning app
Begin with the version containing the release note 'Filesize Warning'
2. Enter the form and follow the question's instructions
3. Verify you receive a warning about the filesize of the multimedia attachments
4. Submit the form</t>
        </is>
      </c>
      <c r="D57" s="387" t="n"/>
      <c r="E57" s="296" t="inlineStr">
        <is>
          <t>Partial: automated (flows/multimedia/filesize_01_trigger_warning.yaml) once a &gt;15MB test file is pushed via addMedia; the 'install Disabled Filesize Warning app' HQ-side step is separate provisioning.</t>
        </is>
      </c>
      <c r="F57" s="296" t="n"/>
      <c r="G57" s="311" t="n"/>
      <c r="H57" s="311" t="inlineStr">
        <is>
          <t>Partial</t>
        </is>
      </c>
      <c r="I57" s="708" t="inlineStr">
        <is>
          <t>Yes</t>
        </is>
      </c>
      <c r="J57" s="311" t="inlineStr">
        <is>
          <t>flows/multimedia/filesize_01_trigger_warning.yaml</t>
        </is>
      </c>
      <c r="K57" s="311" t="n"/>
      <c r="L57" s="311" t="n"/>
      <c r="M57" s="311" t="n"/>
      <c r="N57" s="311" t="n"/>
      <c r="O57" s="311" t="n"/>
      <c r="P57" s="311" t="n"/>
      <c r="Q57" s="311" t="n"/>
      <c r="R57" s="311" t="n"/>
      <c r="S57" s="311" t="n"/>
      <c r="T57" s="311" t="n"/>
      <c r="U57" s="311" t="n"/>
      <c r="V57" s="311" t="n"/>
      <c r="W57" s="311" t="n"/>
      <c r="X57" s="311" t="n"/>
      <c r="Y57" s="311" t="n"/>
      <c r="Z57" s="311" t="n"/>
    </row>
    <row r="58">
      <c r="A58" s="296" t="inlineStr">
        <is>
          <t>Filesize 2</t>
        </is>
      </c>
      <c r="B58" s="296" t="inlineStr">
        <is>
          <t>Trigger warning</t>
        </is>
      </c>
      <c r="C58" s="323" t="inlineStr">
        <is>
          <t>1. Update the app (you should now be on the version that corresponds with the release note, "No Warning")
2. Enter the form 
3. For the video question, upload video file "disable file size warning video (6mb)" located here.
4. Verify you do not receive any warnings about multimedia size.
5. For the video question, Upload audio file "disable file size warning audio (8mb)" located here.
6. Verify you do not receive any warnings about multimedia size.
7. Submit the form</t>
        </is>
      </c>
      <c r="D58" s="387" t="n"/>
      <c r="E58" s="296" t="inlineStr">
        <is>
          <t>Partial: automated (flows/multimedia/filesize_02_no_warning.yaml); hq_setup/multimedia/filesize_no_warning_update.json marks the 'No Warning' release-noted build Released so Update App pulls it.</t>
        </is>
      </c>
      <c r="F58" s="296" t="n"/>
      <c r="G58" s="311" t="n"/>
      <c r="H58" s="311" t="inlineStr">
        <is>
          <t>Partial</t>
        </is>
      </c>
      <c r="I58" s="708" t="inlineStr">
        <is>
          <t>Yes</t>
        </is>
      </c>
      <c r="J58" s="311" t="inlineStr">
        <is>
          <t>flows/multimedia/filesize_02_no_warning.yaml</t>
        </is>
      </c>
      <c r="K58" s="311" t="n"/>
      <c r="L58" s="311" t="n"/>
      <c r="M58" s="311" t="n"/>
      <c r="N58" s="311" t="n"/>
      <c r="O58" s="311" t="n"/>
      <c r="P58" s="311" t="n"/>
      <c r="Q58" s="311" t="n"/>
      <c r="R58" s="311" t="n"/>
      <c r="S58" s="311" t="n"/>
      <c r="T58" s="311" t="n"/>
      <c r="U58" s="311" t="n"/>
      <c r="V58" s="311" t="n"/>
      <c r="W58" s="311" t="n"/>
      <c r="X58" s="311" t="n"/>
      <c r="Y58" s="311" t="n"/>
      <c r="Z58" s="311" t="n"/>
    </row>
    <row r="59">
      <c r="A59" s="296" t="inlineStr">
        <is>
          <t>Filesize Warning 1</t>
        </is>
      </c>
      <c r="B59" s="296" t="inlineStr">
        <is>
          <t>Attempt to record large video</t>
        </is>
      </c>
      <c r="C59" s="296" t="inlineStr">
        <is>
          <t>1. Navigate to Basic Tests &gt; Question Types
2. Cycle through questions until you reach a video capture question.
3. Record your own video (around a minute long)
4. Attempt to add this video to your submission
5. Ensure you encounter an error stating:
File Too Large
Selected file exceed the file size limit of 15 MB. Please select a file whose size is less than 15 MB.</t>
        </is>
      </c>
      <c r="D59" s="387" t="n"/>
      <c r="E59" s="296" t="inlineStr">
        <is>
          <t>Not automatable: requires recording a real ~1-minute video via the device's actual camera hardware - real camera capture is confirmed flaky/unsupported on most BrowserStack device images (same limitation as Photo 1/Image Resize 25), compounded here by the real-time recording length.</t>
        </is>
      </c>
      <c r="F59" s="296" t="n"/>
      <c r="G59" s="311" t="n"/>
      <c r="H59" s="311" t="inlineStr">
        <is>
          <t>Not automatable</t>
        </is>
      </c>
      <c r="I59" s="678" t="inlineStr">
        <is>
          <t>N/A</t>
        </is>
      </c>
      <c r="J59" s="311" t="n"/>
      <c r="K59" s="311" t="n"/>
      <c r="L59" s="311" t="n"/>
      <c r="M59" s="311" t="n"/>
      <c r="N59" s="311" t="n"/>
      <c r="O59" s="311" t="n"/>
      <c r="P59" s="311" t="n"/>
      <c r="Q59" s="311" t="n"/>
      <c r="R59" s="311" t="n"/>
      <c r="S59" s="311" t="n"/>
      <c r="T59" s="311" t="n"/>
      <c r="U59" s="311" t="n"/>
      <c r="V59" s="311" t="n"/>
      <c r="W59" s="311" t="n"/>
      <c r="X59" s="311" t="n"/>
      <c r="Y59" s="311" t="n"/>
      <c r="Z59" s="311" t="n"/>
    </row>
    <row r="60">
      <c r="A60" s="296" t="inlineStr">
        <is>
          <t>Filesize Warning 2</t>
        </is>
      </c>
      <c r="B60" s="296" t="inlineStr">
        <is>
          <t>Attempt to select large video</t>
        </is>
      </c>
      <c r="C60" s="296" t="inlineStr">
        <is>
          <t>1. Continuing from the previous test case
2. Remaining on the same quesion, now attempt to select the video recorded in the previous scenario
4. Attempt to add this video to your submission
5. Ensure you encounter an error stating:
File Too Large
Selected file exceed the file size limit of 15 MB. Please select a file whose size is less than 15 MB.</t>
        </is>
      </c>
      <c r="D60" s="387" t="n"/>
      <c r="E60" s="296" t="inlineStr">
        <is>
          <t>Partial: automated (flows/multimedia/filesize_warning_02_select_large_video.yaml), assuming the oversized video can be pushed via addMedia to the Multimedia QA test app's video-capture question.</t>
        </is>
      </c>
      <c r="F60" s="296" t="n"/>
      <c r="G60" s="311" t="n"/>
      <c r="H60" s="311" t="inlineStr">
        <is>
          <t>Partial</t>
        </is>
      </c>
      <c r="I60" s="708" t="inlineStr">
        <is>
          <t>Yes</t>
        </is>
      </c>
      <c r="J60" s="311" t="inlineStr">
        <is>
          <t>flows/multimedia/filesize_warning_02_select_large_video.yaml</t>
        </is>
      </c>
      <c r="K60" s="311" t="n"/>
      <c r="L60" s="311" t="n"/>
      <c r="M60" s="311" t="n"/>
      <c r="N60" s="311" t="n"/>
      <c r="O60" s="311" t="n"/>
      <c r="P60" s="311" t="n"/>
      <c r="Q60" s="311" t="n"/>
      <c r="R60" s="311" t="n"/>
      <c r="S60" s="311" t="n"/>
      <c r="T60" s="311" t="n"/>
      <c r="U60" s="311" t="n"/>
      <c r="V60" s="311" t="n"/>
      <c r="W60" s="311" t="n"/>
      <c r="X60" s="311" t="n"/>
      <c r="Y60" s="311" t="n"/>
      <c r="Z60" s="311" t="n"/>
    </row>
    <row r="61">
      <c r="A61" s="314" t="inlineStr">
        <is>
          <t>Access External File in Forms</t>
        </is>
      </c>
      <c r="G61" s="314" t="n"/>
      <c r="H61" s="314" t="n"/>
      <c r="I61" s="314" t="n"/>
      <c r="J61" s="314" t="n"/>
      <c r="K61" s="314" t="n"/>
      <c r="L61" s="314" t="n"/>
      <c r="M61" s="314" t="n"/>
      <c r="N61" s="314" t="n"/>
      <c r="O61" s="314" t="n"/>
      <c r="P61" s="314" t="n"/>
      <c r="Q61" s="314" t="n"/>
      <c r="R61" s="314" t="n"/>
      <c r="S61" s="314" t="n"/>
      <c r="T61" s="314" t="n"/>
      <c r="U61" s="314" t="n"/>
      <c r="V61" s="314" t="n"/>
      <c r="W61" s="314" t="n"/>
      <c r="X61" s="314" t="n"/>
      <c r="Y61" s="314" t="n"/>
      <c r="Z61" s="314" t="n"/>
    </row>
    <row r="62">
      <c r="A62" s="387" t="inlineStr">
        <is>
          <t>External File in Forms</t>
        </is>
      </c>
      <c r="B62" s="387" t="inlineStr">
        <is>
          <t>Linking to External Files (Videos, etc) in CommCare Android Forms</t>
        </is>
      </c>
      <c r="C62" s="184" t="inlineStr">
        <is>
          <t>1. Open your device's File Manger
2. Add any video file named "yourvideo.mp4" at device path:  /storage/emulated/0/Android/data/org.commcare.dalvik/media/
3.If 'media' folder is not showing under 'commcare.dalvik. folder &gt; Create a folder and name it as 'media' &gt; Add vedio as per step-2 
4. Login to the app and open menu External File in Forms 
5. Open form Access File and click on the hyperlink "This link"
6. Ensure that video that you added on your device's local filesystem opens up and plays successfully.
More details on confluence page</t>
        </is>
      </c>
      <c r="D62" s="387" t="n"/>
      <c r="E62" s="296" t="inlineStr">
        <is>
          <t>Automated via scripts/run_appium_multimedia_suite.py (real infra gap, not on-device navigation uncertainty - see flows/multimedia/external_file_in_forms.yaml's own now-superseded header for the full citation): BrowserStack's Appium push_file places the real video at exactly /sdcard/Android/data/org.commcare.dalvik/media/yourvideo.mp4 (== the sheet's own /storage/emulated/0/... path) before driving the on-device navigation, closing the exact gap Maestro's addMedia can't reach. Real on-device text verified against the app's own CCZ (not guessed): the form is titled "Access file" (lowercase f), not "Access File". Verified live 2026-09-01: passed, with a real generated MP4 (cv2.VideoWriter, confirmed genuinely decodable) pushed and the link tap confirmed to hand off to an external app (driver.current_package check) rather than showing CommCare's own "No activity found" error.</t>
        </is>
      </c>
      <c r="F62" s="296" t="n"/>
      <c r="G62" s="311" t="n"/>
      <c r="H62" s="311" t="inlineStr">
        <is>
          <t>Partial</t>
        </is>
      </c>
      <c r="I62" s="708" t="inlineStr">
        <is>
          <t>Yes</t>
        </is>
      </c>
      <c r="J62" s="311" t="inlineStr">
        <is>
          <t>scripts/run_appium_multimedia_suite.py --scenario external_file_in_forms (flows/multimedia/external_file_in_forms.yaml kept for reference, tagged superseded_by_appium)</t>
        </is>
      </c>
      <c r="K62" s="311" t="n"/>
      <c r="L62" s="311" t="n"/>
      <c r="M62" s="311" t="n"/>
      <c r="N62" s="311" t="n"/>
      <c r="O62" s="311" t="n"/>
      <c r="P62" s="311" t="n"/>
      <c r="Q62" s="311" t="n"/>
      <c r="R62" s="311" t="n"/>
      <c r="S62" s="311" t="n"/>
      <c r="T62" s="311" t="n"/>
      <c r="U62" s="311" t="n"/>
      <c r="V62" s="311" t="n"/>
      <c r="W62" s="311" t="n"/>
      <c r="X62" s="311" t="n"/>
      <c r="Y62" s="311" t="n"/>
      <c r="Z62" s="311" t="n"/>
    </row>
    <row r="63">
      <c r="A63" s="314" t="inlineStr">
        <is>
          <t>Lazy Videos</t>
        </is>
      </c>
      <c r="G63" s="314" t="n"/>
      <c r="H63" s="314" t="n"/>
      <c r="I63" s="314" t="n"/>
      <c r="J63" s="314" t="n"/>
      <c r="K63" s="314" t="n"/>
      <c r="L63" s="314" t="n"/>
      <c r="M63" s="314" t="n"/>
      <c r="N63" s="314" t="n"/>
      <c r="O63" s="314" t="n"/>
      <c r="P63" s="314" t="n"/>
      <c r="Q63" s="314" t="n"/>
      <c r="R63" s="314" t="n"/>
      <c r="S63" s="314" t="n"/>
      <c r="T63" s="314" t="n"/>
      <c r="U63" s="314" t="n"/>
      <c r="V63" s="314" t="n"/>
      <c r="W63" s="314" t="n"/>
      <c r="X63" s="314" t="n"/>
      <c r="Y63" s="314" t="n"/>
      <c r="Z63" s="314" t="n"/>
    </row>
    <row r="64">
      <c r="A64" s="679" t="inlineStr">
        <is>
          <t xml:space="preserve">Note: Lazy Load Multimedia Files in Updates flag should be enabled for the domain and the settings should be enabled in app settings
It lets any videos in your application download in background lazily after the user has installed the app update containing those videos. </t>
        </is>
      </c>
      <c r="B64" s="639" t="n"/>
      <c r="C64" s="639" t="n"/>
      <c r="D64" s="639" t="n"/>
      <c r="E64" s="638" t="n"/>
      <c r="F64" s="346" t="n"/>
      <c r="G64" s="346" t="n"/>
      <c r="H64" s="346" t="n"/>
      <c r="I64" s="346" t="n"/>
      <c r="J64" s="346" t="n"/>
      <c r="K64" s="346" t="n"/>
      <c r="L64" s="346" t="n"/>
      <c r="M64" s="346" t="n"/>
      <c r="N64" s="346" t="n"/>
      <c r="O64" s="346" t="n"/>
      <c r="P64" s="346" t="n"/>
      <c r="Q64" s="346" t="n"/>
      <c r="R64" s="346" t="n"/>
      <c r="S64" s="346" t="n"/>
      <c r="T64" s="346" t="n"/>
      <c r="U64" s="346" t="n"/>
      <c r="V64" s="346" t="n"/>
      <c r="W64" s="346" t="n"/>
      <c r="X64" s="346" t="n"/>
      <c r="Y64" s="346" t="n"/>
      <c r="Z64" s="346" t="n"/>
    </row>
    <row r="65">
      <c r="A65" s="387" t="inlineStr">
        <is>
          <t>Lazy Video 1</t>
        </is>
      </c>
      <c r="B65" s="387" t="inlineStr">
        <is>
          <t>Install and Update</t>
        </is>
      </c>
      <c r="C65" s="184" t="inlineStr">
        <is>
          <t>1.On the commcare version in test, install the Lazy videos app with release notes 'No videos'
2.Ensure the version with release notes 'lazy videos' is mark as released.
3.Now 'Update app'</t>
        </is>
      </c>
      <c r="D65" s="387" t="n"/>
      <c r="E65" s="387" t="inlineStr">
        <is>
          <t>Partial: hq_setup/multimedia/lazy_video_release.json automates the two sequential mark_build_status calls (release low-media build, then the lazy-video build) so the device's own on-device sync/update puts it into the lazy-loading state Lazy Video 2-5 expect.</t>
        </is>
      </c>
      <c r="F65" s="521" t="n"/>
      <c r="G65" s="60" t="n"/>
      <c r="H65" s="60" t="inlineStr">
        <is>
          <t>Partial</t>
        </is>
      </c>
      <c r="I65" s="709" t="inlineStr">
        <is>
          <t>Yes</t>
        </is>
      </c>
      <c r="J65" s="60" t="inlineStr">
        <is>
          <t>hq_setup/multimedia/lazy_video_release.json</t>
        </is>
      </c>
      <c r="K65" s="60" t="n"/>
      <c r="L65" s="60" t="n"/>
      <c r="M65" s="60" t="n"/>
      <c r="N65" s="60" t="n"/>
      <c r="O65" s="60" t="n"/>
      <c r="P65" s="60" t="n"/>
      <c r="Q65" s="60" t="n"/>
      <c r="R65" s="60" t="n"/>
      <c r="S65" s="60" t="n"/>
      <c r="T65" s="60" t="n"/>
      <c r="U65" s="60" t="n"/>
      <c r="V65" s="60" t="n"/>
      <c r="W65" s="60" t="n"/>
      <c r="X65" s="60" t="n"/>
      <c r="Y65" s="60" t="n"/>
      <c r="Z65" s="60" t="n"/>
    </row>
    <row r="66">
      <c r="A66" s="387" t="inlineStr">
        <is>
          <t>Lazy Video 2</t>
        </is>
      </c>
      <c r="B66" s="387" t="inlineStr">
        <is>
          <t>File missing pop up</t>
        </is>
      </c>
      <c r="C66" s="387" t="inlineStr">
        <is>
          <t>1. Login into the app with user test1/123
2. Now go to  'Video Questions' &gt; 'Videos with valid references'
3. Enure you get a popup stating: (for all questions where video is missing)
Video file missing for this question, click the download button above to download.</t>
        </is>
      </c>
      <c r="D66" s="387" t="n"/>
      <c r="E66" s="387" t="inlineStr">
        <is>
          <t>Downgraded from Automatable to Partial (2026-08-21, based on the flow file's own header) - confirmed live 2026-08-13 via BrowserStack command logs that the hard assertVisible in flows/multimedia/lazy_video_02_file_missing_popup.yaml failed outright; the file's own tags now read `partial`.</t>
        </is>
      </c>
      <c r="F66" s="521" t="n"/>
      <c r="G66" s="60" t="n"/>
      <c r="H66" s="60" t="inlineStr">
        <is>
          <t>Partial</t>
        </is>
      </c>
      <c r="I66" s="709" t="inlineStr">
        <is>
          <t>Yes</t>
        </is>
      </c>
      <c r="J66" s="60" t="inlineStr">
        <is>
          <t>flows/multimedia/lazy_video_02_file_missing_popup.yaml</t>
        </is>
      </c>
      <c r="K66" s="60" t="n"/>
      <c r="L66" s="60" t="n"/>
      <c r="M66" s="60" t="n"/>
      <c r="N66" s="60" t="n"/>
      <c r="O66" s="60" t="n"/>
      <c r="P66" s="60" t="n"/>
      <c r="Q66" s="60" t="n"/>
      <c r="R66" s="60" t="n"/>
      <c r="S66" s="60" t="n"/>
      <c r="T66" s="60" t="n"/>
      <c r="U66" s="60" t="n"/>
      <c r="V66" s="60" t="n"/>
      <c r="W66" s="60" t="n"/>
      <c r="X66" s="60" t="n"/>
      <c r="Y66" s="60" t="n"/>
      <c r="Z66" s="60" t="n"/>
    </row>
    <row r="67">
      <c r="A67" s="387" t="inlineStr">
        <is>
          <t>Lazy Video 3</t>
        </is>
      </c>
      <c r="B67" s="387" t="inlineStr">
        <is>
          <t>Dowload video with valid references</t>
        </is>
      </c>
      <c r="C67" s="387" t="inlineStr">
        <is>
          <t>1.For all the qustions (if the video has not been already downloaded in the background) ensure you see the above pop up.
2.Click on the download button
3. It should should a message something similar to 'download started please wait'
4.After a few seconds it shows that the 'Download complete'
5.Ensure the download button turns into a play button and the video plays successfully without any error.
6.Check this for all questions on the form and ensure that lazy videos works properly.
7. Submit the form</t>
        </is>
      </c>
      <c r="D67" s="387" t="n"/>
      <c r="E67" s="349" t="inlineStr">
        <is>
          <t>Partial: automated (flows/multimedia/lazy_video_03_download_and_play.yaml); a real network-download timing risk - the flow's extendedWaitUntil uses a generous 60s timeout, but a genuinely slow/stalled background download could still exceed it.</t>
        </is>
      </c>
      <c r="F67" s="521" t="n"/>
      <c r="G67" s="60" t="n"/>
      <c r="H67" s="60" t="inlineStr">
        <is>
          <t>Partial</t>
        </is>
      </c>
      <c r="I67" s="709" t="inlineStr">
        <is>
          <t>Yes</t>
        </is>
      </c>
      <c r="J67" s="60" t="inlineStr">
        <is>
          <t>flows/multimedia/lazy_video_03_download_and_play.yaml</t>
        </is>
      </c>
      <c r="K67" s="60" t="n"/>
      <c r="L67" s="60" t="n"/>
      <c r="M67" s="60" t="n"/>
      <c r="N67" s="60" t="n"/>
      <c r="O67" s="60" t="n"/>
      <c r="P67" s="60" t="n"/>
      <c r="Q67" s="60" t="n"/>
      <c r="R67" s="60" t="n"/>
      <c r="S67" s="60" t="n"/>
      <c r="T67" s="60" t="n"/>
      <c r="U67" s="60" t="n"/>
      <c r="V67" s="60" t="n"/>
      <c r="W67" s="60" t="n"/>
      <c r="X67" s="60" t="n"/>
      <c r="Y67" s="60" t="n"/>
      <c r="Z67" s="60" t="n"/>
    </row>
    <row r="68">
      <c r="A68" s="387" t="inlineStr">
        <is>
          <t>Lazy Video 4</t>
        </is>
      </c>
      <c r="B68" s="387" t="inlineStr">
        <is>
          <t>Re-login</t>
        </is>
      </c>
      <c r="C68" s="387" t="inlineStr">
        <is>
          <t>1.Logout and Re-login
2.Navigate through the form again and ensure that the videos downlaoded play properly without any error.</t>
        </is>
      </c>
      <c r="D68" s="387" t="n"/>
      <c r="E68" s="387" t="n"/>
      <c r="F68" s="521" t="n"/>
      <c r="G68" s="60" t="n"/>
      <c r="H68" s="60" t="inlineStr">
        <is>
          <t>Automatable</t>
        </is>
      </c>
      <c r="I68" s="709" t="inlineStr">
        <is>
          <t>Yes</t>
        </is>
      </c>
      <c r="J68" s="60" t="inlineStr">
        <is>
          <t>flows/multimedia/lazy_video_04_relogin_videos_play.yaml</t>
        </is>
      </c>
      <c r="K68" s="60" t="n"/>
      <c r="L68" s="60" t="n"/>
      <c r="M68" s="60" t="n"/>
      <c r="N68" s="60" t="n"/>
      <c r="O68" s="60" t="n"/>
      <c r="P68" s="60" t="n"/>
      <c r="Q68" s="60" t="n"/>
      <c r="R68" s="60" t="n"/>
      <c r="S68" s="60" t="n"/>
      <c r="T68" s="60" t="n"/>
      <c r="U68" s="60" t="n"/>
      <c r="V68" s="60" t="n"/>
      <c r="W68" s="60" t="n"/>
      <c r="X68" s="60" t="n"/>
      <c r="Y68" s="60" t="n"/>
      <c r="Z68" s="60" t="n"/>
    </row>
    <row r="69">
      <c r="A69" s="387" t="inlineStr">
        <is>
          <t>Lazy Video 5</t>
        </is>
      </c>
      <c r="B69" s="387" t="inlineStr">
        <is>
          <t>Video without references</t>
        </is>
      </c>
      <c r="C69" s="387" t="inlineStr">
        <is>
          <t>1. Now go to  'Video Questions' &gt;'Videos with no references' form
2. Enure the download button is present
3.Enure you get a popup stating the follwing for both the questions in the form: 
Media not found in the application
4.Submit the form</t>
        </is>
      </c>
      <c r="D69" s="387" t="n"/>
      <c r="E69" s="387" t="n"/>
      <c r="F69" s="521" t="n"/>
      <c r="G69" s="60" t="n"/>
      <c r="H69" s="60" t="inlineStr">
        <is>
          <t>Automatable</t>
        </is>
      </c>
      <c r="I69" s="709" t="inlineStr">
        <is>
          <t>Yes</t>
        </is>
      </c>
      <c r="J69" s="60" t="inlineStr">
        <is>
          <t>flows/multimedia/lazy_video_05_no_references_media_not_found.yaml</t>
        </is>
      </c>
      <c r="K69" s="60" t="n"/>
      <c r="L69" s="60" t="n"/>
      <c r="M69" s="60" t="n"/>
      <c r="N69" s="60" t="n"/>
      <c r="O69" s="60" t="n"/>
      <c r="P69" s="60" t="n"/>
      <c r="Q69" s="60" t="n"/>
      <c r="R69" s="60" t="n"/>
      <c r="S69" s="60" t="n"/>
      <c r="T69" s="60" t="n"/>
      <c r="U69" s="60" t="n"/>
      <c r="V69" s="60" t="n"/>
      <c r="W69" s="60" t="n"/>
      <c r="X69" s="60" t="n"/>
      <c r="Y69" s="60" t="n"/>
      <c r="Z69" s="60" t="n"/>
    </row>
    <row r="70">
      <c r="A70" s="314" t="inlineStr">
        <is>
          <t xml:space="preserve">Capture Multimedia </t>
        </is>
      </c>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387" t="inlineStr">
        <is>
          <t>Capture 1</t>
        </is>
      </c>
      <c r="B71" s="539" t="inlineStr">
        <is>
          <t xml:space="preserve">Verify user is able to capture signature without any errors </t>
        </is>
      </c>
      <c r="C71" s="351" t="inlineStr">
        <is>
          <t>1. Install the Basic Tests app on your device. 
2. Navigate to Basic Tests &gt; Multimedia Only form 
3. Click on Gather Signature button on the capture signatue question. 
4. A new window should pop up, where user should be able to record the signature. 
5. Click on Save &amp; Close and verify the signature is captured successfully</t>
        </is>
      </c>
      <c r="D71" s="387" t="n"/>
      <c r="E71" s="387" t="n"/>
      <c r="F71" s="521" t="n"/>
      <c r="G71" s="60" t="n"/>
      <c r="H71" s="60" t="inlineStr">
        <is>
          <t>Automatable</t>
        </is>
      </c>
      <c r="I71" s="676" t="inlineStr">
        <is>
          <t>Yes</t>
        </is>
      </c>
      <c r="J71" s="60" t="inlineStr">
        <is>
          <t>flows/multimedia/capture_01_gather_signature.yaml</t>
        </is>
      </c>
      <c r="K71" s="60" t="n"/>
      <c r="L71" s="60" t="n"/>
      <c r="M71" s="60" t="n"/>
      <c r="N71" s="60" t="n"/>
      <c r="O71" s="60" t="n"/>
      <c r="P71" s="60" t="n"/>
      <c r="Q71" s="60" t="n"/>
      <c r="R71" s="60" t="n"/>
      <c r="S71" s="60" t="n"/>
      <c r="T71" s="60" t="n"/>
      <c r="U71" s="60" t="n"/>
      <c r="V71" s="60" t="n"/>
      <c r="W71" s="60" t="n"/>
      <c r="X71" s="60" t="n"/>
      <c r="Y71" s="60" t="n"/>
      <c r="Z71" s="60" t="n"/>
    </row>
    <row r="72">
      <c r="A72" s="387" t="inlineStr">
        <is>
          <t>Capture 2</t>
        </is>
      </c>
      <c r="B72" s="539" t="inlineStr">
        <is>
          <t xml:space="preserve">Signature - Reset </t>
        </is>
      </c>
      <c r="C72" s="351" t="inlineStr">
        <is>
          <t>1. Continue from previous test 
2. Again click on Gather SIgnature 
3. Verify you are seeing the previously recorded signature. 
4. Click on the Reset button and verify the recorded signature gets erased.
5. Now record new signature and click Save button
6. Verify that the new signature replaces the previous one.</t>
        </is>
      </c>
      <c r="D72" s="387" t="n"/>
      <c r="E72" s="387" t="n"/>
      <c r="F72" s="521" t="n"/>
      <c r="G72" s="60" t="n"/>
      <c r="H72" s="60" t="inlineStr">
        <is>
          <t>Automatable</t>
        </is>
      </c>
      <c r="I72" s="676" t="inlineStr">
        <is>
          <t>Yes</t>
        </is>
      </c>
      <c r="J72" s="60" t="inlineStr">
        <is>
          <t>flows/multimedia/capture_02_signature_reset.yaml</t>
        </is>
      </c>
      <c r="K72" s="60" t="n"/>
      <c r="L72" s="60" t="n"/>
      <c r="M72" s="60" t="n"/>
      <c r="N72" s="60" t="n"/>
      <c r="O72" s="60" t="n"/>
      <c r="P72" s="60" t="n"/>
      <c r="Q72" s="60" t="n"/>
      <c r="R72" s="60" t="n"/>
      <c r="S72" s="60" t="n"/>
      <c r="T72" s="60" t="n"/>
      <c r="U72" s="60" t="n"/>
      <c r="V72" s="60" t="n"/>
      <c r="W72" s="60" t="n"/>
      <c r="X72" s="60" t="n"/>
      <c r="Y72" s="60" t="n"/>
      <c r="Z72" s="60" t="n"/>
    </row>
    <row r="73">
      <c r="A73" s="387" t="inlineStr">
        <is>
          <t>Capture 3</t>
        </is>
      </c>
      <c r="B73" s="539" t="inlineStr">
        <is>
          <t xml:space="preserve">Verify user is able to take picture from theirdevice </t>
        </is>
      </c>
      <c r="C73" s="351" t="inlineStr">
        <is>
          <t>1. Navigate to Basic Tests &gt; Multimedia Only form 
2. Go to Image question and click on Take Picture button 
3. Ensure that the camera opens and user can take image 
4. Confirm that the image taken is now visible on the question sreen and a new button 'Remove Image'appears below Take Picture button</t>
        </is>
      </c>
      <c r="D73" s="387" t="n"/>
      <c r="E73" s="387" t="inlineStr">
        <is>
          <t>Partial: real camera capture confirmed flaky/unsupported on most BrowserStack device images - same caveat as Photo 1/Image Resize 25 (flows/multimedia/capture_03_04_take_and_remove_photo.yaml).</t>
        </is>
      </c>
      <c r="F73" s="521" t="n"/>
      <c r="G73" s="60" t="n"/>
      <c r="H73" s="60" t="inlineStr">
        <is>
          <t>Partial</t>
        </is>
      </c>
      <c r="I73" s="709" t="inlineStr">
        <is>
          <t>Yes</t>
        </is>
      </c>
      <c r="J73" s="60" t="inlineStr">
        <is>
          <t>flows/multimedia/capture_03_04_take_and_remove_photo.yaml</t>
        </is>
      </c>
      <c r="K73" s="60" t="n"/>
      <c r="L73" s="60" t="n"/>
      <c r="M73" s="60" t="n"/>
      <c r="N73" s="60" t="n"/>
      <c r="O73" s="60" t="n"/>
      <c r="P73" s="60" t="n"/>
      <c r="Q73" s="60" t="n"/>
      <c r="R73" s="60" t="n"/>
      <c r="S73" s="60" t="n"/>
      <c r="T73" s="60" t="n"/>
      <c r="U73" s="60" t="n"/>
      <c r="V73" s="60" t="n"/>
      <c r="W73" s="60" t="n"/>
      <c r="X73" s="60" t="n"/>
      <c r="Y73" s="60" t="n"/>
      <c r="Z73" s="60" t="n"/>
    </row>
    <row r="74">
      <c r="A74" s="387" t="inlineStr">
        <is>
          <t>Capture 4</t>
        </is>
      </c>
      <c r="B74" s="539" t="inlineStr">
        <is>
          <t xml:space="preserve">Remove Image </t>
        </is>
      </c>
      <c r="C74" s="351" t="inlineStr">
        <is>
          <t>1. Continue from the above test 
2. Click on the Remove Image button
3. Verify that image you captured earlier is no longer present
4. Again click on Take Picture and click a new picture
5. Verify that image new image is now saved for the question</t>
        </is>
      </c>
      <c r="D74" s="387" t="n"/>
      <c r="E74" s="387" t="inlineStr">
        <is>
          <t>Partial: same real-camera-capture caveat as Capture 3 (flows/multimedia/capture_03_04_take_and_remove_photo.yaml).</t>
        </is>
      </c>
      <c r="F74" s="521" t="n"/>
      <c r="G74" s="60" t="n"/>
      <c r="H74" s="60" t="inlineStr">
        <is>
          <t>Partial</t>
        </is>
      </c>
      <c r="I74" s="709" t="inlineStr">
        <is>
          <t>Yes</t>
        </is>
      </c>
      <c r="J74" s="60" t="inlineStr">
        <is>
          <t>flows/multimedia/capture_03_04_take_and_remove_photo.yaml</t>
        </is>
      </c>
      <c r="K74" s="60" t="n"/>
      <c r="L74" s="60" t="n"/>
      <c r="M74" s="60" t="n"/>
      <c r="N74" s="60" t="n"/>
      <c r="O74" s="60" t="n"/>
      <c r="P74" s="60" t="n"/>
      <c r="Q74" s="60" t="n"/>
      <c r="R74" s="60" t="n"/>
      <c r="S74" s="60" t="n"/>
      <c r="T74" s="60" t="n"/>
      <c r="U74" s="60" t="n"/>
      <c r="V74" s="60" t="n"/>
      <c r="W74" s="60" t="n"/>
      <c r="X74" s="60" t="n"/>
      <c r="Y74" s="60" t="n"/>
      <c r="Z74" s="60" t="n"/>
    </row>
    <row r="75">
      <c r="A75" s="387" t="inlineStr">
        <is>
          <t>Capture 5</t>
        </is>
      </c>
      <c r="B75" s="539" t="inlineStr">
        <is>
          <t xml:space="preserve">Verify user is able to record a video and play it  </t>
        </is>
      </c>
      <c r="C75" s="351" t="inlineStr">
        <is>
          <t>1. Navigate to Basic Tests &gt; Multimedia Only form 
2. Go to video question and verify you see two buttons Recodr Video(enabled) and Play Video (disbaled)
3. Click on Record video and see if the camera opens on your device
4. Record a video and save it.
5. Confirm that the Play Video button is now enabled and clicking on it opens the video you recorded
6. Submit the form</t>
        </is>
      </c>
      <c r="D75" s="387" t="n"/>
      <c r="E75" s="387" t="inlineStr">
        <is>
          <t>Not automatable: requires real camera-hardware video recording - confirmed flaky/unsupported on most BrowserStack device images, same limitation as Photo 1/Image Resize 25.</t>
        </is>
      </c>
      <c r="F75" s="521" t="n"/>
      <c r="G75" s="60" t="n"/>
      <c r="H75" s="60" t="inlineStr">
        <is>
          <t>Not automatable</t>
        </is>
      </c>
      <c r="I75" s="675" t="inlineStr">
        <is>
          <t>N/A</t>
        </is>
      </c>
      <c r="J75" s="60" t="n"/>
      <c r="K75" s="60" t="n"/>
      <c r="L75" s="60" t="n"/>
      <c r="M75" s="60" t="n"/>
      <c r="N75" s="60" t="n"/>
      <c r="O75" s="60" t="n"/>
      <c r="P75" s="60" t="n"/>
      <c r="Q75" s="60" t="n"/>
      <c r="R75" s="60" t="n"/>
      <c r="S75" s="60" t="n"/>
      <c r="T75" s="60" t="n"/>
      <c r="U75" s="60" t="n"/>
      <c r="V75" s="60" t="n"/>
      <c r="W75" s="60" t="n"/>
      <c r="X75" s="60" t="n"/>
      <c r="Y75" s="60" t="n"/>
      <c r="Z75" s="60" t="n"/>
    </row>
    <row r="76">
      <c r="A76" s="387" t="inlineStr">
        <is>
          <t>Capture 6</t>
        </is>
      </c>
      <c r="B76" s="539" t="inlineStr">
        <is>
          <t xml:space="preserve">Verify user is able to record an audio and play it </t>
        </is>
      </c>
      <c r="C76" s="351" t="inlineStr">
        <is>
          <t>1. Navigate to Basic Tests &gt; Multimedia Only form 
2. Go to audio question and click on the record button. 
3. Verify that the recorder open and user can record an audio. 
4. Click on Save button and verify that the recording is saved 
5. Ensure that saved audio is the same that you recorded and by playing it.
6. Submit the form</t>
        </is>
      </c>
      <c r="D76" s="387" t="n"/>
      <c r="E76" s="387" t="inlineStr">
        <is>
          <t>Not automatable: requires real microphone-hardware audio recording and verifying playback fidelity - same class of real-capture-hardware limitation as video recording (Capture 5/Photo 1).</t>
        </is>
      </c>
      <c r="F76" s="521" t="n"/>
      <c r="G76" s="60" t="n"/>
      <c r="H76" s="60" t="inlineStr">
        <is>
          <t>Not automatable</t>
        </is>
      </c>
      <c r="I76" s="675" t="inlineStr">
        <is>
          <t>N/A</t>
        </is>
      </c>
      <c r="J76" s="60" t="n"/>
      <c r="K76" s="60" t="n"/>
      <c r="L76" s="60" t="n"/>
      <c r="M76" s="60" t="n"/>
      <c r="N76" s="60" t="n"/>
      <c r="O76" s="60" t="n"/>
      <c r="P76" s="60" t="n"/>
      <c r="Q76" s="60" t="n"/>
      <c r="R76" s="60" t="n"/>
      <c r="S76" s="60" t="n"/>
      <c r="T76" s="60" t="n"/>
      <c r="U76" s="60" t="n"/>
      <c r="V76" s="60" t="n"/>
      <c r="W76" s="60" t="n"/>
      <c r="X76" s="60" t="n"/>
      <c r="Y76" s="60" t="n"/>
      <c r="Z76" s="60" t="n"/>
    </row>
    <row r="77">
      <c r="A77" s="387" t="inlineStr">
        <is>
          <t>Capture 7</t>
        </is>
      </c>
      <c r="B77" s="539" t="inlineStr">
        <is>
          <t>Verify the functionality of the pause button on the while recording an audio</t>
        </is>
      </c>
      <c r="C77" s="353" t="inlineStr">
        <is>
          <t>1. Continue from above test
2. Start recording an audio.
3. Verify you can pause the audio while recording and then resume recording
4. Save the audio file
Note: The pause button should be enabled by default.</t>
        </is>
      </c>
      <c r="D77" s="387" t="n"/>
      <c r="E77" s="387" t="inlineStr">
        <is>
          <t>Not automatable: requires real microphone-hardware audio recording with a pause/resume mid-capture - same real-capture-hardware limitation as Capture 6.</t>
        </is>
      </c>
      <c r="F77" s="521" t="n"/>
      <c r="G77" s="60" t="n"/>
      <c r="H77" s="60" t="inlineStr">
        <is>
          <t>Not automatable</t>
        </is>
      </c>
      <c r="I77" s="675" t="inlineStr">
        <is>
          <t>N/A</t>
        </is>
      </c>
      <c r="J77" s="60" t="n"/>
      <c r="K77" s="60" t="n"/>
      <c r="L77" s="60" t="n"/>
      <c r="M77" s="60" t="n"/>
      <c r="N77" s="60" t="n"/>
      <c r="O77" s="60" t="n"/>
      <c r="P77" s="60" t="n"/>
      <c r="Q77" s="60" t="n"/>
      <c r="R77" s="60" t="n"/>
      <c r="S77" s="60" t="n"/>
      <c r="T77" s="60" t="n"/>
      <c r="U77" s="60" t="n"/>
      <c r="V77" s="60" t="n"/>
      <c r="W77" s="60" t="n"/>
      <c r="X77" s="60" t="n"/>
      <c r="Y77" s="60" t="n"/>
      <c r="Z77" s="60" t="n"/>
    </row>
    <row r="78">
      <c r="A78" s="387" t="inlineStr">
        <is>
          <t>Capture 8</t>
        </is>
      </c>
      <c r="B78" s="539" t="inlineStr">
        <is>
          <t xml:space="preserve">Verify the file you uploaded to CommCare is not corrupted by navigating to Submit History and downloading the all the multimedia files  </t>
        </is>
      </c>
      <c r="C78" s="351" t="inlineStr">
        <is>
          <t>1. Navigate to Reports &gt; Submit Form
2. Search for the submission for Multimedia Only form
3. Verify that all the multimedia entries that you did are recorded succsessfully and are not corrupted
4. Download the files and verifiy them</t>
        </is>
      </c>
      <c r="D78" s="387" t="n"/>
      <c r="E78" s="387" t="inlineStr">
        <is>
          <t>Not automatable (not yet wired up): downloading and verifying Submit-History multimedia isn't corrupted is technically approachable via HQClient.get_form_attachments() (already proven for this tab's own Photo Verification/Image Resize 27-28 checks) but depends on Capture 5-7's own camera/mic captures having succeeded first, which they can't reliably on this device pool.</t>
        </is>
      </c>
      <c r="F78" s="521" t="n"/>
      <c r="G78" s="60" t="n"/>
      <c r="H78" s="60" t="inlineStr">
        <is>
          <t>Not automatable</t>
        </is>
      </c>
      <c r="I78" s="675" t="inlineStr">
        <is>
          <t>N/A</t>
        </is>
      </c>
      <c r="J78" s="60" t="n"/>
      <c r="K78" s="60" t="n"/>
      <c r="L78" s="60" t="n"/>
      <c r="M78" s="60" t="n"/>
      <c r="N78" s="60" t="n"/>
      <c r="O78" s="60" t="n"/>
      <c r="P78" s="60" t="n"/>
      <c r="Q78" s="60" t="n"/>
      <c r="R78" s="60" t="n"/>
      <c r="S78" s="60" t="n"/>
      <c r="T78" s="60" t="n"/>
      <c r="U78" s="60" t="n"/>
      <c r="V78" s="60" t="n"/>
      <c r="W78" s="60" t="n"/>
      <c r="X78" s="60" t="n"/>
      <c r="Y78" s="60" t="n"/>
      <c r="Z78" s="60" t="n"/>
    </row>
  </sheetData>
  <mergeCells count="10">
    <mergeCell ref="A63:F63"/>
    <mergeCell ref="B2:C2"/>
    <mergeCell ref="B3:C3"/>
    <mergeCell ref="B5:C5"/>
    <mergeCell ref="A64:E64"/>
    <mergeCell ref="A70:F70"/>
    <mergeCell ref="A61:F61"/>
    <mergeCell ref="A56:F56"/>
    <mergeCell ref="B1:C1"/>
    <mergeCell ref="B4:C4"/>
  </mergeCells>
  <conditionalFormatting sqref="D8:D55 D57:D60 D62 D65:D69 D71:D78">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55 D57:D60 D62 D65:D69 D71:D78"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C57" r:id="rId2"/>
    <hyperlink xmlns:r="http://schemas.openxmlformats.org/officeDocument/2006/relationships" ref="C58" r:id="rId3"/>
    <hyperlink xmlns:r="http://schemas.openxmlformats.org/officeDocument/2006/relationships" ref="C62" r:id="rId4"/>
    <hyperlink xmlns:r="http://schemas.openxmlformats.org/officeDocument/2006/relationships" ref="A64" r:id="rId5"/>
    <hyperlink xmlns:r="http://schemas.openxmlformats.org/officeDocument/2006/relationships" ref="C65" r:id="rId6"/>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13"/>
  <sheetViews>
    <sheetView workbookViewId="0">
      <selection activeCell="A1" sqref="A1"/>
    </sheetView>
  </sheetViews>
  <sheetFormatPr baseColWidth="8" defaultColWidth="17.29" defaultRowHeight="15" customHeight="1"/>
  <cols>
    <col width="18.71" customWidth="1" style="629" min="1" max="1"/>
    <col width="39.29" customWidth="1" style="629" min="2" max="2"/>
    <col width="52" customWidth="1" style="629" min="3" max="3"/>
    <col width="18" customWidth="1" style="629" min="9" max="9"/>
    <col width="13" customWidth="1" style="629" min="10" max="10"/>
    <col width="60" customWidth="1" style="629" min="11" max="11"/>
  </cols>
  <sheetData>
    <row r="1">
      <c r="A1" s="85" t="inlineStr">
        <is>
          <t>Test Area</t>
        </is>
      </c>
      <c r="B1" s="680" t="inlineStr">
        <is>
          <t>Developer Options</t>
        </is>
      </c>
      <c r="C1" s="638" t="n"/>
      <c r="D1" s="221" t="n"/>
      <c r="E1" s="221" t="n"/>
      <c r="F1" s="221" t="n"/>
      <c r="G1" s="221" t="n"/>
      <c r="H1" s="166" t="n"/>
      <c r="I1" s="166" t="n"/>
      <c r="J1" s="166" t="n"/>
    </row>
    <row r="2">
      <c r="A2" s="224" t="inlineStr">
        <is>
          <t>Summary:</t>
        </is>
      </c>
      <c r="B2" s="681" t="inlineStr">
        <is>
          <t>Ensure that we're able to access and use all Developer Options standard to mobile and those housed in HQ settings under 'Custom Properties'</t>
        </is>
      </c>
      <c r="C2" s="637" t="n"/>
      <c r="D2" s="221" t="n"/>
      <c r="E2" s="221" t="n"/>
      <c r="F2" s="221" t="n"/>
      <c r="G2" s="221" t="n"/>
      <c r="H2" s="166" t="n"/>
      <c r="I2" s="166" t="n"/>
      <c r="J2" s="166" t="n"/>
    </row>
    <row r="3">
      <c r="A3" s="224" t="inlineStr">
        <is>
          <t>Domain:</t>
        </is>
      </c>
      <c r="B3" s="682">
        <f>HYPERLINK("https://www.commcarehq.org/a/qateam/apps/view/cdfa6c85eb594b23b0c08729cd2beff1/")</f>
        <v/>
      </c>
      <c r="C3" s="637" t="n"/>
      <c r="D3" s="221" t="n"/>
      <c r="E3" s="221" t="n"/>
      <c r="F3" s="221" t="n"/>
      <c r="G3" s="221" t="n"/>
      <c r="H3" s="166" t="n"/>
      <c r="I3" s="166" t="n"/>
      <c r="J3" s="166" t="n"/>
    </row>
    <row r="4">
      <c r="A4" s="224" t="inlineStr">
        <is>
          <t xml:space="preserve">Application: </t>
        </is>
      </c>
      <c r="B4" s="681" t="inlineStr">
        <is>
          <t>Basic Test</t>
        </is>
      </c>
      <c r="C4" s="637" t="n"/>
      <c r="D4" s="221" t="n"/>
      <c r="E4" s="221" t="n"/>
      <c r="F4" s="221" t="n"/>
      <c r="G4" s="221" t="n"/>
      <c r="H4" s="166" t="n"/>
      <c r="I4" s="166" t="n"/>
      <c r="J4" s="166" t="n"/>
    </row>
    <row r="5">
      <c r="A5" s="224" t="inlineStr">
        <is>
          <t>Prerequisites:</t>
        </is>
      </c>
      <c r="B5" s="681" t="inlineStr">
        <is>
          <t>Version must be 2.36 or higher</t>
        </is>
      </c>
      <c r="C5" s="637" t="n"/>
      <c r="D5" s="221" t="n"/>
      <c r="E5" s="221" t="n"/>
      <c r="F5" s="221" t="n"/>
      <c r="G5" s="221" t="n"/>
      <c r="H5" s="166" t="n"/>
      <c r="I5" s="166" t="n"/>
      <c r="J5" s="166" t="n"/>
    </row>
    <row r="6">
      <c r="A6" s="221" t="n"/>
      <c r="B6" s="221" t="n"/>
      <c r="C6" s="221" t="n"/>
      <c r="D6" s="221" t="n"/>
      <c r="E6" s="221" t="n"/>
      <c r="F6" s="221" t="n"/>
      <c r="G6" s="221" t="n"/>
      <c r="H6" s="166" t="n"/>
      <c r="I6" s="166" t="n"/>
      <c r="J6" s="166" t="n"/>
    </row>
    <row r="7">
      <c r="A7" s="224" t="inlineStr">
        <is>
          <t>Test Case ID</t>
        </is>
      </c>
      <c r="B7" s="238" t="inlineStr">
        <is>
          <t>Summary</t>
        </is>
      </c>
      <c r="C7" s="238" t="inlineStr">
        <is>
          <t>Steps</t>
        </is>
      </c>
      <c r="D7" s="238" t="inlineStr">
        <is>
          <t>Expected Result</t>
        </is>
      </c>
      <c r="E7" s="238" t="inlineStr">
        <is>
          <t>Pass/Fail</t>
        </is>
      </c>
      <c r="F7" s="244" t="inlineStr">
        <is>
          <t>Ticket ID</t>
        </is>
      </c>
      <c r="G7" s="244" t="inlineStr">
        <is>
          <t>Notes</t>
        </is>
      </c>
      <c r="H7" s="166" t="n"/>
      <c r="I7" s="140" t="inlineStr">
        <is>
          <t>Maestro Automatability</t>
        </is>
      </c>
      <c r="J7" s="0" t="inlineStr">
        <is>
          <t>Automated?</t>
        </is>
      </c>
      <c r="K7" s="0" t="inlineStr">
        <is>
          <t>Flow File</t>
        </is>
      </c>
    </row>
    <row r="8">
      <c r="A8" s="455" t="inlineStr">
        <is>
          <t>Setup 1</t>
        </is>
      </c>
      <c r="B8" s="249" t="inlineStr">
        <is>
          <t>Install Basic Test Application</t>
        </is>
      </c>
      <c r="C8" s="468" t="inlineStr">
        <is>
          <t>1. Proceed to https://www.commcarehq.org/a/qateam/apps/view/cdfa6c85eb594b23b0c08729cd2beff1/  (QAteam Domain &gt; Basic Tests Application)
2. On this page, select the publish button for the most recent build.
3. Select the box "Include Multimedia"
4. Select Scan Application barcode. A window with a barcode should appear.
5. On the device, open CommCare
6. Go to the application and select Scan Application Barcode
7. Navigate to application release page, select Scan Application Barcode.
8. Scan the barcode displayed on CommCareHQ.
9. Select Start Install
10. Wait for application to install and verify you are brought to the login page on the device.</t>
        </is>
      </c>
      <c r="D8" s="468" t="inlineStr">
        <is>
          <t>Can install the application to the release candidate</t>
        </is>
      </c>
      <c r="E8" s="564" t="n"/>
      <c r="F8" s="249" t="n"/>
      <c r="G8" s="249" t="n"/>
      <c r="H8" s="166" t="n"/>
      <c r="I8" s="140" t="inlineStr">
        <is>
          <t>Automatable</t>
        </is>
      </c>
      <c r="J8" s="0" t="inlineStr">
        <is>
          <t>Yes</t>
        </is>
      </c>
      <c r="K8" s="0" t="inlineStr">
        <is>
          <t>flows_non_core/developer_options/do_01_enable_developer_options.yaml</t>
        </is>
      </c>
    </row>
    <row r="9">
      <c r="A9" s="455" t="inlineStr">
        <is>
          <t>Setup 2</t>
        </is>
      </c>
      <c r="B9" s="249" t="inlineStr">
        <is>
          <t>Login</t>
        </is>
      </c>
      <c r="C9" s="468" t="inlineStr">
        <is>
          <t>1. Open the Basic Test application on your device
2. Login as test1 with password 123</t>
        </is>
      </c>
      <c r="D9" s="468" t="inlineStr">
        <is>
          <t>can login</t>
        </is>
      </c>
      <c r="E9" s="564" t="n"/>
      <c r="F9" s="249" t="n"/>
      <c r="G9" s="249" t="n"/>
      <c r="H9" s="166" t="n"/>
      <c r="I9" s="140" t="inlineStr">
        <is>
          <t>Automatable</t>
        </is>
      </c>
      <c r="J9" s="0" t="inlineStr">
        <is>
          <t>Yes</t>
        </is>
      </c>
      <c r="K9" s="0" t="inlineStr">
        <is>
          <t>flows_non_core/developer_options/do_01_enable_developer_options.yaml</t>
        </is>
      </c>
    </row>
    <row r="10">
      <c r="A10" s="455" t="inlineStr">
        <is>
          <t>DO1</t>
        </is>
      </c>
      <c r="B10" s="249" t="inlineStr">
        <is>
          <t>Enable Developer Options</t>
        </is>
      </c>
      <c r="C10" s="468" t="inlineStr">
        <is>
          <t>1. After logging in, go to Menu icon(3 dots) on the top right corner
2. Select About CommCare &gt; Click on 'OK' button four times to enable Developer Options
3. Return to Options to choose Settings --&gt; Developer Options
4. Verify the following are present:
- Developer Mode Enabled
- Show Update Option Item
- Image Above Question Text Enabled
- Detect and Trigger Purge on Form Save</t>
        </is>
      </c>
      <c r="D10" s="468" t="inlineStr">
        <is>
          <t>Can enable Developer Options</t>
        </is>
      </c>
      <c r="E10" s="564" t="n"/>
      <c r="F10" s="249" t="n"/>
      <c r="G10" s="249" t="n"/>
      <c r="H10" s="166" t="n"/>
      <c r="I10" s="140" t="inlineStr">
        <is>
          <t>Automatable</t>
        </is>
      </c>
      <c r="J10" s="0" t="inlineStr">
        <is>
          <t>Yes</t>
        </is>
      </c>
      <c r="K10" s="0" t="inlineStr">
        <is>
          <t>flows_non_core/developer_options/do_01_enable_developer_options.yaml</t>
        </is>
      </c>
    </row>
    <row r="11">
      <c r="A11" s="455" t="inlineStr">
        <is>
          <t>DO2</t>
        </is>
      </c>
      <c r="B11" s="249" t="inlineStr">
        <is>
          <t>Show Update Option Item</t>
        </is>
      </c>
      <c r="C11" s="468" t="inlineStr">
        <is>
          <t>1. To test this option, please run through the steps on the 'Update' tab</t>
        </is>
      </c>
      <c r="D11" s="249" t="n"/>
      <c r="E11" s="564" t="n"/>
      <c r="F11" s="249" t="n"/>
      <c r="G11" s="249" t="n"/>
      <c r="H11" s="166" t="n"/>
      <c r="I11" s="140" t="inlineStr">
        <is>
          <t>Automatable</t>
        </is>
      </c>
      <c r="J11" s="0" t="inlineStr">
        <is>
          <t>N/A</t>
        </is>
      </c>
      <c r="K11" s="0" t="inlineStr">
        <is>
          <t>(covered by the Update tab's flows)</t>
        </is>
      </c>
    </row>
    <row r="12">
      <c r="A12" s="455" t="inlineStr">
        <is>
          <t>DO3</t>
        </is>
      </c>
      <c r="B12" s="249" t="inlineStr">
        <is>
          <t>Image Above Text - Enabled</t>
        </is>
      </c>
      <c r="C12" s="468" t="inlineStr">
        <is>
          <t>1. Select 'Image Above Question Text Enabled'
2. Select Enabled
3. Return to the home screen of the Basic Test application
4. Select the Basic Form Tests module
5. Select the Basic Form form
6. Note the image is displayed above the text.</t>
        </is>
      </c>
      <c r="D12" s="249" t="n"/>
      <c r="E12" s="564" t="n"/>
      <c r="F12" s="249" t="n"/>
      <c r="G12" s="249" t="n"/>
      <c r="H12" s="166" t="n"/>
      <c r="I12" s="140" t="inlineStr">
        <is>
          <t>Automatable</t>
        </is>
      </c>
      <c r="J12" s="0" t="inlineStr">
        <is>
          <t>Yes</t>
        </is>
      </c>
      <c r="K12" s="0" t="inlineStr">
        <is>
          <t>flows_non_core/developer_options/do_03_image_above_text_enabled.yaml</t>
        </is>
      </c>
    </row>
    <row r="13">
      <c r="A13" s="455" t="inlineStr">
        <is>
          <t>DO4</t>
        </is>
      </c>
      <c r="B13" s="249" t="inlineStr">
        <is>
          <t>Image Above Text - Disabled</t>
        </is>
      </c>
      <c r="C13" s="468" t="inlineStr">
        <is>
          <t>1. Return to the developer options
2. Select 'Image Above Text Enabled'
2. Select Disabled
3. Return to the home screen of the Basic Test application
4. Select the Basic Form Tests module
5. Select the Basic Form form
6. Note the image is displayed below the text.</t>
        </is>
      </c>
      <c r="D13" s="249" t="n"/>
      <c r="E13" s="564" t="n"/>
      <c r="F13" s="249" t="n"/>
      <c r="G13" s="249" t="n"/>
      <c r="H13" s="166" t="n"/>
      <c r="I13" s="140" t="inlineStr">
        <is>
          <t>Automatable</t>
        </is>
      </c>
      <c r="J13" s="0" t="inlineStr">
        <is>
          <t>Yes</t>
        </is>
      </c>
      <c r="K13" s="0" t="inlineStr">
        <is>
          <t>flows_non_core/developer_options/do_04_image_above_text_disabled.yaml</t>
        </is>
      </c>
    </row>
  </sheetData>
  <mergeCells count="5">
    <mergeCell ref="B2:C2"/>
    <mergeCell ref="B3:C3"/>
    <mergeCell ref="B5:C5"/>
    <mergeCell ref="B1:C1"/>
    <mergeCell ref="B4:C4"/>
  </mergeCells>
  <conditionalFormatting sqref="E8:E13">
    <cfRule type="containsText" priority="1" operator="containsText" dxfId="0" text="Pass">
      <formula>NOT(ISERROR(SEARCH(("Pass"),(E8))))</formula>
    </cfRule>
    <cfRule type="containsText" priority="2" operator="containsText" dxfId="1" text="Fail">
      <formula>NOT(ISERROR(SEARCH(("Fail"),(E8))))</formula>
    </cfRule>
    <cfRule type="containsText" priority="3" operator="containsText" dxfId="2" text="N/A">
      <formula>NOT(ISERROR(SEARCH(("N/A"),(E8))))</formula>
    </cfRule>
    <cfRule type="containsText" priority="4" operator="containsText" dxfId="3" text="Blocking">
      <formula>NOT(ISERROR(SEARCH(("Blocking"),(E8))))</formula>
    </cfRule>
  </conditionalFormatting>
  <dataValidations count="1">
    <dataValidation sqref="E8:E13" showDropDown="0" showInputMessage="0" showErrorMessage="1" allowBlank="1" type="list">
      <formula1>"Pass,Fail,N/A,Blocking"</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K16"/>
  <sheetViews>
    <sheetView workbookViewId="0">
      <selection activeCell="A1" sqref="A1"/>
    </sheetView>
  </sheetViews>
  <sheetFormatPr baseColWidth="8" defaultColWidth="17.29" defaultRowHeight="15" customHeight="1"/>
  <cols>
    <col width="19.86" customWidth="1" style="629" min="1" max="1"/>
    <col width="21.14" customWidth="1" style="629" min="2" max="2"/>
    <col width="93.70999999999999" customWidth="1" style="629" min="3" max="3"/>
    <col width="18" customWidth="1" style="629" min="9" max="9"/>
    <col width="13" customWidth="1" style="629" min="10" max="10"/>
    <col width="60" customWidth="1" style="629" min="11" max="11"/>
  </cols>
  <sheetData>
    <row r="1">
      <c r="A1" s="536" t="inlineStr">
        <is>
          <t>Test Area:</t>
        </is>
      </c>
      <c r="B1" s="451" t="inlineStr">
        <is>
          <t>Printing</t>
        </is>
      </c>
      <c r="C1" s="638" t="n"/>
      <c r="D1" s="494" t="n"/>
      <c r="E1" s="494" t="n"/>
      <c r="F1" s="494" t="n"/>
      <c r="G1" s="494" t="n"/>
    </row>
    <row r="2">
      <c r="A2" s="363" t="inlineStr">
        <is>
          <t>Summary:</t>
        </is>
      </c>
      <c r="B2" s="468" t="inlineStr">
        <is>
          <t>Test printing functionality</t>
        </is>
      </c>
      <c r="C2" s="637" t="n"/>
      <c r="D2" s="494" t="n"/>
      <c r="E2" s="494" t="n"/>
      <c r="F2" s="494" t="n"/>
      <c r="G2" s="494" t="n"/>
    </row>
    <row r="3">
      <c r="A3" s="363" t="inlineStr">
        <is>
          <t>Domain:</t>
        </is>
      </c>
      <c r="B3" s="683" t="inlineStr">
        <is>
          <t>https://www.commcarehq.org/a/qateam/apps/view/cdfa6c85eb594b23b0c08729cd2beff1/</t>
        </is>
      </c>
      <c r="C3" s="637" t="n"/>
      <c r="D3" s="494" t="n"/>
      <c r="E3" s="494" t="n"/>
      <c r="F3" s="494" t="n"/>
      <c r="G3" s="494" t="n"/>
    </row>
    <row r="4">
      <c r="A4" s="363" t="inlineStr">
        <is>
          <t xml:space="preserve">Application: </t>
        </is>
      </c>
      <c r="B4" s="468" t="inlineStr">
        <is>
          <t>Basic Tests</t>
        </is>
      </c>
      <c r="C4" s="637" t="n"/>
      <c r="D4" s="494" t="n"/>
      <c r="E4" s="494" t="n"/>
      <c r="F4" s="494" t="n"/>
      <c r="G4" s="494" t="n"/>
    </row>
    <row r="5">
      <c r="A5" s="494" t="n"/>
      <c r="B5" s="494" t="n"/>
      <c r="C5" s="494" t="n"/>
      <c r="D5" s="494" t="n"/>
      <c r="E5" s="494" t="n"/>
      <c r="F5" s="494" t="n"/>
      <c r="G5" s="494" t="n"/>
    </row>
    <row r="6">
      <c r="A6" s="278" t="n"/>
      <c r="B6" s="279" t="n"/>
      <c r="C6" s="279" t="n"/>
      <c r="D6" s="279" t="n"/>
      <c r="E6" s="279" t="n"/>
      <c r="F6" s="279" t="n"/>
      <c r="G6" s="494" t="n"/>
    </row>
    <row r="7">
      <c r="A7" s="363" t="inlineStr">
        <is>
          <t>Test Case ID</t>
        </is>
      </c>
      <c r="B7" s="283" t="inlineStr">
        <is>
          <t>Summary</t>
        </is>
      </c>
      <c r="C7" s="283" t="inlineStr">
        <is>
          <t>Steps</t>
        </is>
      </c>
      <c r="D7" s="282" t="inlineStr">
        <is>
          <t>Pass/Fail</t>
        </is>
      </c>
      <c r="E7" s="283" t="inlineStr">
        <is>
          <t>Notes</t>
        </is>
      </c>
      <c r="F7" s="283" t="inlineStr">
        <is>
          <t>Ticket ID</t>
        </is>
      </c>
      <c r="G7" s="494" t="n"/>
      <c r="I7" s="140" t="inlineStr">
        <is>
          <t>Maestro Automatability</t>
        </is>
      </c>
      <c r="J7" s="0" t="inlineStr">
        <is>
          <t>Automated?</t>
        </is>
      </c>
      <c r="K7" s="0" t="inlineStr">
        <is>
          <t>Flow File</t>
        </is>
      </c>
    </row>
    <row r="8">
      <c r="A8" s="284" t="inlineStr">
        <is>
          <t>Form Printing 1</t>
        </is>
      </c>
      <c r="B8" s="521" t="inlineStr">
        <is>
          <t>Install Application</t>
        </is>
      </c>
      <c r="C8" s="387" t="inlineStr">
        <is>
          <t xml:space="preserve">Install the Basic Tests app  (https://www.commcarehq.org/a/qateam/apps/view/cdfa6c85eb594b23b0c08729cd2beff1/) onto your device </t>
        </is>
      </c>
      <c r="D8" s="564" t="n"/>
      <c r="E8" s="468" t="n"/>
      <c r="F8" s="468" t="n"/>
      <c r="G8" s="494" t="n"/>
      <c r="I8" s="140" t="inlineStr">
        <is>
          <t>Automatable</t>
        </is>
      </c>
      <c r="J8" s="0" t="inlineStr">
        <is>
          <t>Yes</t>
        </is>
      </c>
      <c r="K8" s="0" t="inlineStr">
        <is>
          <t>flows_non_core/printing/form_printing_01_04_print_from_form.yaml</t>
        </is>
      </c>
    </row>
    <row r="9">
      <c r="A9" s="284" t="inlineStr">
        <is>
          <t>Form Printing 2</t>
        </is>
      </c>
      <c r="B9" s="468" t="inlineStr">
        <is>
          <t>Go to printing form</t>
        </is>
      </c>
      <c r="C9" s="468" t="inlineStr">
        <is>
          <t xml:space="preserve">
1. Log into the app with username 'test1' and password '123'.
2. Select 'Start'-&gt;Navigate to Printing --&gt; Print from A Form</t>
        </is>
      </c>
      <c r="D9" s="564" t="n"/>
      <c r="E9" s="468" t="n"/>
      <c r="F9" s="468" t="n"/>
      <c r="G9" s="494" t="n"/>
      <c r="I9" s="140" t="inlineStr">
        <is>
          <t>Automatable</t>
        </is>
      </c>
      <c r="J9" s="0" t="inlineStr">
        <is>
          <t>Yes</t>
        </is>
      </c>
      <c r="K9" s="0" t="inlineStr">
        <is>
          <t>flows_non_core/printing/form_printing_01_04_print_from_form.yaml</t>
        </is>
      </c>
    </row>
    <row r="10">
      <c r="A10" s="284" t="inlineStr">
        <is>
          <t>Form Printing 3</t>
        </is>
      </c>
      <c r="B10" s="468" t="inlineStr">
        <is>
          <t>Fill out form</t>
        </is>
      </c>
      <c r="C10" s="468" t="inlineStr">
        <is>
          <t>Fill out the first 3 questions (Name, Age, Hometown) with any values, but make sure they are filled in with something</t>
        </is>
      </c>
      <c r="D10" s="564" t="n"/>
      <c r="E10" s="468" t="n"/>
      <c r="F10" s="468" t="n"/>
      <c r="G10" s="494" t="n"/>
      <c r="I10" s="140" t="inlineStr">
        <is>
          <t>Automatable</t>
        </is>
      </c>
      <c r="J10" s="0" t="inlineStr">
        <is>
          <t>Yes</t>
        </is>
      </c>
      <c r="K10" s="0" t="inlineStr">
        <is>
          <t>flows_non_core/printing/form_printing_01_04_print_from_form.yaml</t>
        </is>
      </c>
    </row>
    <row r="11">
      <c r="A11" s="284" t="inlineStr">
        <is>
          <t>Form Printing 4</t>
        </is>
      </c>
      <c r="B11" s="468" t="inlineStr">
        <is>
          <t>Perform print and access the PDF that is generated</t>
        </is>
      </c>
      <c r="C11" s="468" t="inlineStr">
        <is>
          <t>1. On the next screen, click the "Get Data" button.
2. After a moment, a native Android print UI should appear. At this point there may already be either a preview of a PDF showing on that screen, or a button to download a PDF. If there is, proceed to the next step. If there is not, there should be a dropdown option at the top of the screen. Open this up and select "Save as PDF", or something similar. Either a preview of a PDF or a button to download the PDF should now be showing.</t>
        </is>
      </c>
      <c r="D11" s="564" t="n"/>
      <c r="E11" s="468" t="n"/>
      <c r="F11" s="468" t="n"/>
      <c r="G11" s="494" t="n"/>
      <c r="I11" s="140" t="inlineStr">
        <is>
          <t>Partial</t>
        </is>
      </c>
      <c r="J11" s="0" t="inlineStr">
        <is>
          <t>Yes</t>
        </is>
      </c>
      <c r="K11" s="0" t="inlineStr">
        <is>
          <t>flows_non_core/printing/form_printing_01_04_print_from_form.yaml</t>
        </is>
      </c>
    </row>
    <row r="12">
      <c r="A12" s="284" t="inlineStr">
        <is>
          <t>Form Printing 5</t>
        </is>
      </c>
      <c r="B12" s="468" t="inlineStr">
        <is>
          <t>Confirm PDF contents are correct</t>
        </is>
      </c>
      <c r="C12" s="468" t="inlineStr">
        <is>
          <t>1. Either click the button to download and save the PDF, or just view the preview on the screen if there is one.
2. Confirm that the 3 values you entered in the e questions in step 3 are showing in their respective places on the PDF.</t>
        </is>
      </c>
      <c r="D12" s="564" t="n"/>
      <c r="E12" s="468" t="n"/>
      <c r="F12" s="468" t="n"/>
      <c r="G12" s="494" t="n"/>
      <c r="I12" s="140" t="inlineStr">
        <is>
          <t>Not automatable</t>
        </is>
      </c>
      <c r="J12" s="0" t="inlineStr">
        <is>
          <t>N/A</t>
        </is>
      </c>
      <c r="K12" s="0" t="n"/>
    </row>
    <row r="13">
      <c r="A13" s="284" t="inlineStr">
        <is>
          <t>Print from Detail 1</t>
        </is>
      </c>
      <c r="B13" s="468" t="inlineStr">
        <is>
          <t>Select a case</t>
        </is>
      </c>
      <c r="C13" s="468" t="inlineStr">
        <is>
          <t>Go back to the home screen for the Basic Tests app, and then select Start --&gt; Case Tests --&gt; Update a Case. Then select any case in the case list</t>
        </is>
      </c>
      <c r="D13" s="564" t="n"/>
      <c r="E13" s="468" t="n"/>
      <c r="F13" s="468" t="n"/>
      <c r="G13" s="494" t="n"/>
      <c r="I13" s="140" t="inlineStr">
        <is>
          <t>N/A</t>
        </is>
      </c>
      <c r="J13" s="0" t="inlineStr">
        <is>
          <t>N/A</t>
        </is>
      </c>
      <c r="K13" s="0" t="inlineStr">
        <is>
          <t>(Print from case detail is deprecated - confirmed 2026-10-23)</t>
        </is>
      </c>
    </row>
    <row r="14">
      <c r="A14" s="284" t="inlineStr">
        <is>
          <t>Print from Detail 2</t>
        </is>
      </c>
      <c r="B14" s="468" t="inlineStr">
        <is>
          <t>Confirm values in detail</t>
        </is>
      </c>
      <c r="C14" s="468" t="inlineStr">
        <is>
          <t>You should now be viewing the case detail for the selected case. Note the values that show in the case detail for the fields "Name", "Status", and "Phone Number" (if any field is missing, that's fine, just remember that for the next steps)</t>
        </is>
      </c>
      <c r="D14" s="564" t="n"/>
      <c r="E14" s="468" t="n"/>
      <c r="F14" s="468" t="n"/>
      <c r="G14" s="494" t="n"/>
      <c r="I14" s="140" t="inlineStr">
        <is>
          <t>N/A</t>
        </is>
      </c>
      <c r="J14" s="0" t="inlineStr">
        <is>
          <t>N/A</t>
        </is>
      </c>
      <c r="K14" s="0" t="inlineStr">
        <is>
          <t>(Print from case detail is deprecated - confirmed 2026-10-23)</t>
        </is>
      </c>
    </row>
    <row r="15">
      <c r="A15" s="284" t="inlineStr">
        <is>
          <t>Print from Detail 3</t>
        </is>
      </c>
      <c r="B15" s="468" t="inlineStr">
        <is>
          <t>Click Print Detail button</t>
        </is>
      </c>
      <c r="C15" s="287" t="inlineStr">
        <is>
          <t>Select the options menu button on the case detail (the 3 dots in the upper-right corner), and select "Print Case Detail"</t>
        </is>
      </c>
      <c r="D15" s="564" t="n"/>
      <c r="E15" s="468" t="n"/>
      <c r="F15" s="468" t="n"/>
      <c r="G15" s="494" t="n"/>
      <c r="I15" s="140" t="inlineStr">
        <is>
          <t>N/A</t>
        </is>
      </c>
      <c r="J15" s="0" t="inlineStr">
        <is>
          <t>N/A</t>
        </is>
      </c>
      <c r="K15" s="0" t="inlineStr">
        <is>
          <t>(Print from case detail is deprecated - confirmed 2026-10-23)</t>
        </is>
      </c>
    </row>
    <row r="16">
      <c r="A16" s="387" t="inlineStr">
        <is>
          <t>Print from Detail 4</t>
        </is>
      </c>
      <c r="B16" s="387" t="inlineStr">
        <is>
          <t>Confirm PDF contents are correct</t>
        </is>
      </c>
      <c r="C16" s="387" t="inlineStr">
        <is>
          <t>1. Either click the button to download and save the PDF, or just view the preview on the screen if there is one.
2. Confirm that the values you noted in step 2 show up in the proper place on the PDF (if any fields were missing in step 2, then it is expected for that value to be blank in the PDF)</t>
        </is>
      </c>
      <c r="D16" s="564" t="n"/>
      <c r="E16" s="387" t="n"/>
      <c r="F16" s="387" t="n"/>
      <c r="G16" s="494" t="n"/>
      <c r="I16" s="140" t="inlineStr">
        <is>
          <t>N/A</t>
        </is>
      </c>
      <c r="J16" s="0" t="inlineStr">
        <is>
          <t>N/A</t>
        </is>
      </c>
      <c r="K16" s="0" t="inlineStr">
        <is>
          <t>(Print from case detail is deprecated - confirmed 2026-10-23)</t>
        </is>
      </c>
    </row>
  </sheetData>
  <mergeCells count="4">
    <mergeCell ref="B1:C1"/>
    <mergeCell ref="B3:C3"/>
    <mergeCell ref="B4:C4"/>
    <mergeCell ref="B2:C2"/>
  </mergeCells>
  <conditionalFormatting sqref="D8:D16">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6"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K30"/>
  <sheetViews>
    <sheetView workbookViewId="0">
      <selection activeCell="A1" sqref="A1"/>
    </sheetView>
  </sheetViews>
  <sheetFormatPr baseColWidth="8" defaultColWidth="17.29" defaultRowHeight="15" customHeight="1"/>
  <cols>
    <col width="108.71" customWidth="1" style="629" min="3" max="3"/>
    <col width="18" customWidth="1" style="629" min="9" max="9"/>
    <col width="13" customWidth="1" style="629" min="10" max="10"/>
    <col width="60" customWidth="1" style="629" min="11" max="11"/>
  </cols>
  <sheetData>
    <row r="1">
      <c r="A1" s="536" t="inlineStr">
        <is>
          <t>Test Area:</t>
        </is>
      </c>
      <c r="B1" s="387" t="inlineStr">
        <is>
          <t>Graphing</t>
        </is>
      </c>
      <c r="C1" s="684" t="inlineStr">
        <is>
          <t>Notes:</t>
        </is>
      </c>
      <c r="D1" s="638" t="n"/>
      <c r="E1" s="494" t="n"/>
      <c r="F1" s="494" t="n"/>
      <c r="G1" s="494" t="n"/>
      <c r="H1" s="494" t="n"/>
      <c r="I1" s="494" t="n"/>
    </row>
    <row r="2">
      <c r="A2" s="536" t="inlineStr">
        <is>
          <t>Summary:</t>
        </is>
      </c>
      <c r="B2" s="387" t="inlineStr">
        <is>
          <t>Test graphing functionality</t>
        </is>
      </c>
      <c r="C2" s="685" t="inlineStr">
        <is>
          <t>The following tests can be performed on a mobile but ideallyy should be done on an android tablet. Please report anything that does not work as expected or affect the look or functionality.
Depending on the size of your tablet, some of the text while viewing graphs may be truncated (overlapping). This is a known issue and is determined by the graph configurations and device size.</t>
        </is>
      </c>
      <c r="D2" s="638" t="n"/>
      <c r="E2" s="494" t="n"/>
      <c r="F2" s="494" t="n"/>
      <c r="G2" s="494" t="n"/>
      <c r="H2" s="494" t="n"/>
      <c r="I2" s="494" t="n"/>
    </row>
    <row r="3">
      <c r="A3" s="536" t="inlineStr">
        <is>
          <t>Domain:</t>
        </is>
      </c>
      <c r="B3" s="686" t="inlineStr">
        <is>
          <t>https://www.commcarehq.org/a/qateam/apps/view/633b6c82c4b044a1b44964f9dc0e3d2d/</t>
        </is>
      </c>
      <c r="C3" s="639" t="n"/>
      <c r="D3" s="638" t="n"/>
      <c r="E3" s="494" t="n"/>
      <c r="F3" s="494" t="n"/>
      <c r="G3" s="494" t="n"/>
      <c r="H3" s="494" t="n"/>
      <c r="I3" s="494" t="n"/>
    </row>
    <row r="4">
      <c r="A4" s="536" t="inlineStr">
        <is>
          <t xml:space="preserve">Application: </t>
        </is>
      </c>
      <c r="B4" s="387" t="inlineStr">
        <is>
          <t>Graphing</t>
        </is>
      </c>
      <c r="C4" s="639" t="n"/>
      <c r="D4" s="638" t="n"/>
      <c r="E4" s="494" t="n"/>
      <c r="F4" s="494" t="n"/>
      <c r="G4" s="494" t="n"/>
      <c r="H4" s="494" t="n"/>
      <c r="I4" s="494" t="n"/>
    </row>
    <row r="5">
      <c r="A5" s="494" t="n"/>
      <c r="B5" s="494" t="n"/>
      <c r="C5" s="494" t="n"/>
      <c r="D5" s="494" t="n"/>
      <c r="E5" s="494" t="n"/>
      <c r="F5" s="494" t="n"/>
      <c r="G5" s="494" t="n"/>
      <c r="H5" s="494" t="n"/>
      <c r="I5" s="494" t="n"/>
    </row>
    <row r="6">
      <c r="A6" s="278" t="n"/>
      <c r="B6" s="279" t="n"/>
      <c r="C6" s="279" t="n"/>
      <c r="D6" s="279" t="n"/>
      <c r="E6" s="279" t="n"/>
      <c r="F6" s="279" t="n"/>
      <c r="G6" s="494" t="n"/>
      <c r="H6" s="494" t="n"/>
      <c r="I6" s="494" t="n"/>
    </row>
    <row r="7">
      <c r="A7" s="363" t="inlineStr">
        <is>
          <t>Test Case ID</t>
        </is>
      </c>
      <c r="B7" s="283" t="inlineStr">
        <is>
          <t>Summary</t>
        </is>
      </c>
      <c r="C7" s="283" t="inlineStr">
        <is>
          <t>Steps</t>
        </is>
      </c>
      <c r="D7" s="282" t="inlineStr">
        <is>
          <t>Pass/Fail</t>
        </is>
      </c>
      <c r="E7" s="283" t="inlineStr">
        <is>
          <t>Notes</t>
        </is>
      </c>
      <c r="F7" s="283" t="inlineStr">
        <is>
          <t>Ticket ID</t>
        </is>
      </c>
      <c r="G7" s="494" t="n"/>
      <c r="H7" s="494" t="n"/>
      <c r="I7" s="140" t="inlineStr">
        <is>
          <t>Maestro Automatability</t>
        </is>
      </c>
      <c r="J7" s="0" t="inlineStr">
        <is>
          <t>Automated?</t>
        </is>
      </c>
      <c r="K7" s="0" t="inlineStr">
        <is>
          <t>Flow File</t>
        </is>
      </c>
    </row>
    <row r="8">
      <c r="A8" s="284" t="inlineStr">
        <is>
          <t>Graphing 1</t>
        </is>
      </c>
      <c r="B8" s="468" t="inlineStr">
        <is>
          <t>Install Application</t>
        </is>
      </c>
      <c r="C8" s="468" t="inlineStr">
        <is>
          <t>1. Install Application on the CC version in test</t>
        </is>
      </c>
      <c r="D8" s="564" t="n"/>
      <c r="E8" s="468" t="n"/>
      <c r="F8" s="468" t="n"/>
      <c r="G8" s="494" t="n"/>
      <c r="H8" s="494" t="n"/>
      <c r="I8" s="140" t="inlineStr">
        <is>
          <t>Automatable</t>
        </is>
      </c>
      <c r="J8" s="0" t="inlineStr">
        <is>
          <t>Yes</t>
        </is>
      </c>
      <c r="K8" s="0" t="inlineStr">
        <is>
          <t>flows_non_core/graphing/graphing_01_05_19_create_case_points_view_and_remove.yaml</t>
        </is>
      </c>
    </row>
    <row r="9">
      <c r="A9" s="284" t="inlineStr">
        <is>
          <t>Graphing 2</t>
        </is>
      </c>
      <c r="B9" s="468" t="inlineStr">
        <is>
          <t>Restore User</t>
        </is>
      </c>
      <c r="C9" s="468" t="inlineStr">
        <is>
          <t>1. Enter your user name and password and select "Log In"
2. Verify that a message box pops up saying it's logging in
3. Verify you are directed to the CommCare home screen once successfully logged in
4. Verify that the session expiration message immediately displays in the phone's notification bar after logging in</t>
        </is>
      </c>
      <c r="D9" s="564" t="n"/>
      <c r="E9" s="468" t="n"/>
      <c r="F9" s="468" t="n"/>
      <c r="G9" s="494" t="n"/>
      <c r="H9" s="494" t="n"/>
      <c r="I9" s="140" t="inlineStr">
        <is>
          <t>Automatable</t>
        </is>
      </c>
      <c r="J9" s="0" t="inlineStr">
        <is>
          <t>Yes</t>
        </is>
      </c>
      <c r="K9" s="0" t="inlineStr">
        <is>
          <t>flows_non_core/graphing/graphing_01_05_19_create_case_points_view_and_remove.yaml</t>
        </is>
      </c>
    </row>
    <row r="10">
      <c r="A10" s="284" t="inlineStr">
        <is>
          <t>Graphing 3</t>
        </is>
      </c>
      <c r="B10" s="468" t="inlineStr">
        <is>
          <t>Create case</t>
        </is>
      </c>
      <c r="C10" s="468" t="inlineStr">
        <is>
          <t xml:space="preserve">1. Select "Start"--&gt;"Graphing"--&gt;"Create Case"
2. Enter a name for the case and save and exit the form
</t>
        </is>
      </c>
      <c r="D10" s="564" t="n"/>
      <c r="E10" s="468" t="n"/>
      <c r="F10" s="468" t="n"/>
      <c r="G10" s="494" t="n"/>
      <c r="H10" s="494" t="n"/>
      <c r="I10" s="140" t="inlineStr">
        <is>
          <t>Automatable</t>
        </is>
      </c>
      <c r="J10" s="0" t="inlineStr">
        <is>
          <t>Yes</t>
        </is>
      </c>
      <c r="K10" s="0" t="inlineStr">
        <is>
          <t>flows_non_core/graphing/graphing_01_05_19_create_case_points_view_and_remove.yaml</t>
        </is>
      </c>
    </row>
    <row r="11">
      <c r="A11" s="284" t="inlineStr">
        <is>
          <t>End Form 1</t>
        </is>
      </c>
      <c r="B11" s="468" t="inlineStr">
        <is>
          <t>Verify form navigation</t>
        </is>
      </c>
      <c r="C11" s="468" t="inlineStr">
        <is>
          <t>3. Verify you're returned to the form list ("Graphing" will display across the top of the screen)</t>
        </is>
      </c>
      <c r="D11" s="564" t="n"/>
      <c r="E11" s="468" t="n"/>
      <c r="F11" s="468" t="n"/>
      <c r="G11" s="494" t="n"/>
      <c r="H11" s="494" t="n"/>
      <c r="I11" s="140" t="inlineStr">
        <is>
          <t>Automatable</t>
        </is>
      </c>
      <c r="J11" s="0" t="inlineStr">
        <is>
          <t>Yes</t>
        </is>
      </c>
      <c r="K11" s="0" t="inlineStr">
        <is>
          <t>flows_non_core/graphing/graphing_01_05_19_create_case_points_view_and_remove.yaml</t>
        </is>
      </c>
    </row>
    <row r="12">
      <c r="A12" s="284" t="inlineStr">
        <is>
          <t>Graphing 4</t>
        </is>
      </c>
      <c r="B12" s="468" t="inlineStr">
        <is>
          <t>Add points to a case</t>
        </is>
      </c>
      <c r="C12" s="468" t="inlineStr">
        <is>
          <t>1. Select "Add a Point"
2. Select your case created in Graphing 3 and update the case with points
3. Save and exit the form
4. Verify you're returned to the form list</t>
        </is>
      </c>
      <c r="D12" s="564" t="n"/>
      <c r="E12" s="468" t="n"/>
      <c r="F12" s="468" t="n"/>
      <c r="G12" s="494" t="n"/>
      <c r="H12" s="494" t="n"/>
      <c r="I12" s="140" t="inlineStr">
        <is>
          <t>Automatable</t>
        </is>
      </c>
      <c r="J12" s="0" t="inlineStr">
        <is>
          <t>Yes</t>
        </is>
      </c>
      <c r="K12" s="0" t="inlineStr">
        <is>
          <t>flows_non_core/graphing/graphing_01_05_19_create_case_points_view_and_remove.yaml</t>
        </is>
      </c>
    </row>
    <row r="13">
      <c r="A13" s="284" t="inlineStr">
        <is>
          <t>Graphing 5</t>
        </is>
      </c>
      <c r="B13" s="468" t="inlineStr">
        <is>
          <t>View case graphs</t>
        </is>
      </c>
      <c r="C13" s="468" t="inlineStr">
        <is>
          <t>1. Select "View Cases &amp; Graphs"
2. Verify you're taken to the case list and your case created is listed along with a graph on the right
3. Select your case and verify you're taken to the case detail screen which should display 4 graphs: an "XY graph", "Bubble Graph", "Time Graph", "Fills Graph", "Bar Graph" and "Bar Horizontal Graph" 
4. For the first three graphs, verify the point you entered in Graphing 4 are displayed within the graphs</t>
        </is>
      </c>
      <c r="D13" s="564" t="n"/>
      <c r="E13" s="468" t="n"/>
      <c r="F13" s="468" t="n"/>
      <c r="G13" s="494" t="n"/>
      <c r="H13" s="494" t="n"/>
      <c r="I13" s="140" t="inlineStr">
        <is>
          <t>Partial</t>
        </is>
      </c>
      <c r="J13" s="0" t="inlineStr">
        <is>
          <t>Yes</t>
        </is>
      </c>
      <c r="K13" s="0" t="inlineStr">
        <is>
          <t>flows_non_core/graphing/graphing_01_05_19_create_case_points_view_and_remove.yaml</t>
        </is>
      </c>
    </row>
    <row r="14">
      <c r="A14" s="284" t="inlineStr">
        <is>
          <t>Graphing 6</t>
        </is>
      </c>
      <c r="B14" s="468" t="inlineStr">
        <is>
          <t>Check XY graph format</t>
        </is>
      </c>
      <c r="C14" s="468" t="inlineStr">
        <is>
          <t>For the XY graph:
1. Verify the x and y axes are labeled as "y values" &amp; "x values" 
2. Verify that the text, "BOTTOM" displays within the xy graph near the bottom
3. Verify the graph's y values are: zero, five, ten on the left and 0-100 in increments of 20 on the right
4. Verify the graph's x values are: 0, 2, 4, 6, 8
5. Verify the first point appears as diamond and the next one as cross sign.
6. Rotate the device and verify the graph and its contents are still visible and nothing is distorted</t>
        </is>
      </c>
      <c r="D14" s="564" t="n"/>
      <c r="E14" s="468" t="n"/>
      <c r="F14" s="468" t="n"/>
      <c r="G14" s="494" t="n"/>
      <c r="H14" s="494" t="n"/>
      <c r="I14" s="140" t="inlineStr">
        <is>
          <t>Partial</t>
        </is>
      </c>
      <c r="J14" s="0" t="inlineStr">
        <is>
          <t>Yes</t>
        </is>
      </c>
      <c r="K14" s="0" t="inlineStr">
        <is>
          <t>flows_non_core/graphing/graphing_06_xy_axis_labels.yaml</t>
        </is>
      </c>
    </row>
    <row r="15">
      <c r="A15" s="284" t="inlineStr">
        <is>
          <t>Graphing 7</t>
        </is>
      </c>
      <c r="B15" s="468" t="inlineStr">
        <is>
          <t>Check bubble graph format</t>
        </is>
      </c>
      <c r="C15" s="468" t="inlineStr">
        <is>
          <t>For the bubble graph:
1. Verify the x and y axes are labeled as "y values" &amp; "x values"
2. Verify the graph contains the the text, "TOP" within the graph near the top of it
3. Verify the graph's x axis has labels displayed for corresponding values and increments properly
4. Verify the graph's y values range from 0-10 in increments of 1
5. Verify that the bubble(s) displayed are light green, and partially translucent, so you can see the grid lines behind them
6. Rotate the device and verify the graph and its contents are still visible and nothing is distorted</t>
        </is>
      </c>
      <c r="D15" s="564" t="n"/>
      <c r="E15" s="468" t="n"/>
      <c r="F15" s="468" t="n"/>
      <c r="G15" s="494" t="n"/>
      <c r="H15" s="494" t="n"/>
      <c r="I15" s="140" t="inlineStr">
        <is>
          <t>Partial</t>
        </is>
      </c>
      <c r="J15" s="0" t="inlineStr">
        <is>
          <t>Yes</t>
        </is>
      </c>
      <c r="K15" s="0" t="inlineStr">
        <is>
          <t>flows_non_core/graphing/graphing_07_11_graph_tabs_text.yaml</t>
        </is>
      </c>
    </row>
    <row r="16">
      <c r="A16" s="284" t="inlineStr">
        <is>
          <t>Graphing 8</t>
        </is>
      </c>
      <c r="B16" s="468" t="inlineStr">
        <is>
          <t>Check time graph format</t>
        </is>
      </c>
      <c r="C16" s="468" t="inlineStr">
        <is>
          <t>For the time graph:
1. Verify the graph's y axis is labeled, "Y Values" and it's x axis is labeled, "DateTime"
2. Verify the graph's x axis displays date increments from 01-01 to 12-31 (YYYY-MM-DD) beginning for 2014
3. Verify the graph's y values are 0-10 in increments of 1
4. Verify the graph contains the text "JUNE" within the graph at coordinates y=5, x=06-01, where x is the date June 1st
5. Rotate the device and verify the graph and its contents are still visible and nothing is distorted</t>
        </is>
      </c>
      <c r="D16" s="564" t="n"/>
      <c r="E16" s="468" t="n"/>
      <c r="F16" s="468" t="n"/>
      <c r="G16" s="494" t="n"/>
      <c r="H16" s="494" t="n"/>
      <c r="I16" s="140" t="inlineStr">
        <is>
          <t>Partial</t>
        </is>
      </c>
      <c r="J16" s="0" t="inlineStr">
        <is>
          <t>Yes</t>
        </is>
      </c>
      <c r="K16" s="0" t="inlineStr">
        <is>
          <t>flows_non_core/graphing/graphing_07_11_graph_tabs_text.yaml</t>
        </is>
      </c>
    </row>
    <row r="17">
      <c r="A17" s="284" t="inlineStr">
        <is>
          <t>Graphing 9</t>
        </is>
      </c>
      <c r="B17" s="468" t="inlineStr">
        <is>
          <t>Check fills graph format</t>
        </is>
      </c>
      <c r="C17" s="468" t="inlineStr">
        <is>
          <t>For the fills graph:
1. Verify the fills graph has no x or y axis title
2. Verify the fills graph x values range from 0-20 in increments of 4
3. Verify the fills graph y values range from 0-10 in increments of 2
4. Verify the fills graph contains multiple points, with the upper portion of the graph should not have a color, the lower portion yellow, and a blank space in between
5. Rotate the device and verify the graph and its contents are still visible and nothing is distorted</t>
        </is>
      </c>
      <c r="D17" s="564" t="n"/>
      <c r="E17" s="468" t="n"/>
      <c r="F17" s="468" t="n"/>
      <c r="G17" s="494" t="n"/>
      <c r="H17" s="494" t="n"/>
      <c r="I17" s="140" t="inlineStr">
        <is>
          <t>Partial</t>
        </is>
      </c>
      <c r="J17" s="0" t="inlineStr">
        <is>
          <t>Yes</t>
        </is>
      </c>
      <c r="K17" s="0" t="inlineStr">
        <is>
          <t>flows_non_core/graphing/graphing_07_11_graph_tabs_text.yaml</t>
        </is>
      </c>
    </row>
    <row r="18">
      <c r="A18" s="284" t="inlineStr">
        <is>
          <t>Graphing 10</t>
        </is>
      </c>
      <c r="B18" s="468" t="inlineStr">
        <is>
          <t>Check graph referencing a look up Table</t>
        </is>
      </c>
      <c r="C18" s="468" t="inlineStr">
        <is>
          <t>For the bar graph:
1. Verify the graph's y axis is labeled, "Number Two" and it's x axis is labeled, "Number One"
2. Verify the graph's x  and y axis values displays numbers 0-10 in increments of 1
4. Verify the graph contains shows legend with value "number2"
5. Verify the graph contains data labels like 1,2,3..etc just above the bar in the graph.
6. Rotate the device and verify the graph and its contents are still visible and nothing is distorted</t>
        </is>
      </c>
      <c r="D18" s="564" t="n"/>
      <c r="E18" s="468" t="n"/>
      <c r="F18" s="468" t="n"/>
      <c r="G18" s="494" t="n"/>
      <c r="H18" s="494" t="n"/>
      <c r="I18" s="140" t="inlineStr">
        <is>
          <t>Partial</t>
        </is>
      </c>
      <c r="J18" s="0" t="inlineStr">
        <is>
          <t>Yes</t>
        </is>
      </c>
      <c r="K18" s="0" t="inlineStr">
        <is>
          <t>flows_non_core/graphing/graphing_07_11_graph_tabs_text.yaml</t>
        </is>
      </c>
    </row>
    <row r="19">
      <c r="A19" s="284" t="inlineStr">
        <is>
          <t>Graphing 11</t>
        </is>
      </c>
      <c r="B19" s="468" t="inlineStr">
        <is>
          <t>Check horizontal bar graph</t>
        </is>
      </c>
      <c r="C19" s="468" t="inlineStr">
        <is>
          <t>For the horizontal bar graph:
1. Verify the graph appears in a horizontal view
2. Verify that the bar color for x value&lt;=2 is displayed in green and &gt;2 is displayed in orange.
3. Rotate the device and verify the graph and its contents are still visible and nothing is distorted</t>
        </is>
      </c>
      <c r="D19" s="564" t="n"/>
      <c r="E19" s="468" t="n"/>
      <c r="F19" s="468" t="n"/>
      <c r="G19" s="494" t="n"/>
      <c r="H19" s="494" t="n"/>
      <c r="I19" s="140" t="inlineStr">
        <is>
          <t>Partial</t>
        </is>
      </c>
      <c r="J19" s="0" t="inlineStr">
        <is>
          <t>Yes</t>
        </is>
      </c>
      <c r="K19" s="0" t="inlineStr">
        <is>
          <t>flows_non_core/graphing/graphing_07_11_graph_tabs_text.yaml</t>
        </is>
      </c>
    </row>
    <row r="20">
      <c r="A20" s="284" t="inlineStr">
        <is>
          <t>Graphing 12</t>
        </is>
      </c>
      <c r="B20" s="468" t="inlineStr">
        <is>
          <t>Check Graph Zoom</t>
        </is>
      </c>
      <c r="C20" s="468" t="inlineStr">
        <is>
          <t>1. For the Fills Graph, "double click" the graph; verify a new screen appears with only the fills graph and the zoom toolbar
2. Press the zoom in (+) button on the gray toolbar and verify the graph zooms in
3. Press the zoom out (-) button on the gray toolbar and verify the graph zooms out
4. Touch the graph and drag it around; verify the graph can be moved around, and up and down, without distortion
5. Touch and hold the graph with two fingers; with a pinch-like motion widen and bring together your fingers to zoom in and out; verify the graph can be zoomed in and zoomed out without distortion
6. Repeat steps 1-5 for the xy graph
7. For the bubble graph, verify that you can double-tap to bring up a new screen with only the graph. Verify that you can drag to pan or pinch to zoom.</t>
        </is>
      </c>
      <c r="D20" s="564" t="n"/>
      <c r="E20" s="468" t="n"/>
      <c r="F20" s="468" t="n"/>
      <c r="G20" s="494" t="n"/>
      <c r="H20" s="494" t="n"/>
      <c r="I20" s="140" t="inlineStr">
        <is>
          <t>Partial</t>
        </is>
      </c>
      <c r="J20" s="0" t="inlineStr">
        <is>
          <t>Yes</t>
        </is>
      </c>
      <c r="K20" s="0" t="inlineStr">
        <is>
          <t>flows_non_core/graphing/graphing_12_double_tap_full_screen.yaml</t>
        </is>
      </c>
    </row>
    <row r="21">
      <c r="A21" s="284" t="inlineStr">
        <is>
          <t>Graphing 13</t>
        </is>
      </c>
      <c r="B21" s="468" t="inlineStr">
        <is>
          <t>XY Data Labels</t>
        </is>
      </c>
      <c r="C21" s="468" t="inlineStr">
        <is>
          <t>1. Select a case and double click on the XY graph.
2. Select one of the points.
3. A small window should appear, displaying the coordinates of the point. You should be able to do this for each of the points.</t>
        </is>
      </c>
      <c r="D21" s="564" t="n"/>
      <c r="E21" s="468" t="n"/>
      <c r="F21" s="468" t="n"/>
      <c r="G21" s="494" t="n"/>
      <c r="H21" s="494" t="n"/>
      <c r="I21" s="140" t="inlineStr">
        <is>
          <t>Not automatable</t>
        </is>
      </c>
      <c r="J21" s="0" t="inlineStr">
        <is>
          <t>N/A</t>
        </is>
      </c>
      <c r="K21" s="0" t="n"/>
    </row>
    <row r="22">
      <c r="A22" s="284" t="inlineStr">
        <is>
          <t>Graphing 14</t>
        </is>
      </c>
      <c r="B22" s="468" t="inlineStr">
        <is>
          <t>Bubble Data Labels</t>
        </is>
      </c>
      <c r="C22" s="468" t="inlineStr">
        <is>
          <t>1. Select a case and double click on the Bubble Graph.
2. Select one of the points.
3. A small window should appear, displaying the coordinates of the point. You should be able to do this for each of the points.</t>
        </is>
      </c>
      <c r="D22" s="564" t="n"/>
      <c r="E22" s="468" t="n"/>
      <c r="F22" s="468" t="n"/>
      <c r="G22" s="494" t="n"/>
      <c r="H22" s="494" t="n"/>
      <c r="I22" s="140" t="inlineStr">
        <is>
          <t>Not automatable</t>
        </is>
      </c>
      <c r="J22" s="0" t="inlineStr">
        <is>
          <t>N/A</t>
        </is>
      </c>
      <c r="K22" s="0" t="n"/>
    </row>
    <row r="23">
      <c r="A23" s="284" t="inlineStr">
        <is>
          <t>Graphing 15</t>
        </is>
      </c>
      <c r="B23" s="468" t="inlineStr">
        <is>
          <t>Time Data Labels</t>
        </is>
      </c>
      <c r="C23" s="468" t="inlineStr">
        <is>
          <t>1. Select a case and double click on the Time graph.
2. Select one of the points.
3. A small window should appear, displaying the coordinates of the point. You should be able to do this for each of the points.</t>
        </is>
      </c>
      <c r="D23" s="564" t="n"/>
      <c r="E23" s="468" t="n"/>
      <c r="F23" s="468" t="n"/>
      <c r="G23" s="494" t="n"/>
      <c r="H23" s="494" t="n"/>
      <c r="I23" s="140" t="inlineStr">
        <is>
          <t>Not automatable</t>
        </is>
      </c>
      <c r="J23" s="0" t="inlineStr">
        <is>
          <t>N/A</t>
        </is>
      </c>
      <c r="K23" s="0" t="n"/>
    </row>
    <row r="24">
      <c r="A24" s="284" t="inlineStr">
        <is>
          <t>Graphing 16</t>
        </is>
      </c>
      <c r="B24" s="468" t="inlineStr">
        <is>
          <t>Fills Data Labels</t>
        </is>
      </c>
      <c r="C24" s="468" t="inlineStr">
        <is>
          <t>1. Select a case and double click on the Fills graph.
2. Select one of the points.
3. A small window should appear, displaying the coordinates of the point. You should be able to do this for each of the points.</t>
        </is>
      </c>
      <c r="D24" s="564" t="n"/>
      <c r="E24" s="468" t="n"/>
      <c r="F24" s="468" t="n"/>
      <c r="G24" s="494" t="n"/>
      <c r="H24" s="494" t="n"/>
      <c r="I24" s="140" t="inlineStr">
        <is>
          <t>Not automatable</t>
        </is>
      </c>
      <c r="J24" s="0" t="inlineStr">
        <is>
          <t>N/A</t>
        </is>
      </c>
      <c r="K24" s="0" t="n"/>
    </row>
    <row r="25">
      <c r="A25" s="284" t="inlineStr">
        <is>
          <t>Graphing 17</t>
        </is>
      </c>
      <c r="B25" s="468" t="inlineStr">
        <is>
          <t>Bar Data Labels</t>
        </is>
      </c>
      <c r="C25" s="468" t="inlineStr">
        <is>
          <t>1. Select a case and double click on the Bar graph.
2. Select one of the points.
3. A small window should appear, displaying the coordinates of the point. You should be able to do this for each of the points.</t>
        </is>
      </c>
      <c r="D25" s="564" t="n"/>
      <c r="E25" s="468" t="n"/>
      <c r="F25" s="468" t="n"/>
      <c r="G25" s="494" t="n"/>
      <c r="H25" s="494" t="n"/>
      <c r="I25" s="140" t="inlineStr">
        <is>
          <t>Not automatable</t>
        </is>
      </c>
      <c r="J25" s="0" t="inlineStr">
        <is>
          <t>N/A</t>
        </is>
      </c>
      <c r="K25" s="0" t="n"/>
    </row>
    <row r="26">
      <c r="A26" s="284" t="inlineStr">
        <is>
          <t>Graphing 18</t>
        </is>
      </c>
      <c r="B26" s="468" t="inlineStr">
        <is>
          <t>Remove a Point</t>
        </is>
      </c>
      <c r="C26" s="468" t="inlineStr">
        <is>
          <t>1. Navigate back to the list of all menus and select 'Remove a Point ' 
2. Verify a list of all coordinates appear with "x", "y" and "radius" at the top of the screen (each set of points are linked to a case)
3. Select the point you created in Graphing 4 and hit "select' again to access the form
4. Navigate to the end of the form to remove the point; save and exit your form, and verify you're returned to the home screen
5. Select "View Cases &amp; Graphs"
6. Select your case and verify the graphs no longer contain your point</t>
        </is>
      </c>
      <c r="D26" s="564" t="n"/>
      <c r="E26" s="468" t="n"/>
      <c r="F26" s="468" t="n"/>
      <c r="G26" s="494" t="n"/>
      <c r="H26" s="494" t="n"/>
      <c r="I26" s="140" t="inlineStr">
        <is>
          <t>Partial</t>
        </is>
      </c>
      <c r="J26" s="0" t="inlineStr">
        <is>
          <t>Yes</t>
        </is>
      </c>
      <c r="K26" s="0" t="inlineStr">
        <is>
          <t>flows_non_core/graphing/graphing_18_remove_point_list.yaml</t>
        </is>
      </c>
    </row>
    <row r="27">
      <c r="A27" s="284" t="inlineStr">
        <is>
          <t>Graphing 19</t>
        </is>
      </c>
      <c r="B27" s="468" t="inlineStr">
        <is>
          <t>Close a Case</t>
        </is>
      </c>
      <c r="C27" s="468" t="inlineStr">
        <is>
          <t>1. Navigate back to the graphing module and select "Remove Case"
2. Verify the case you created in Graphing 3 appears in the case list and select it. Hit "Select" again and verify you're taken to the form
3. Navigate to the end of the form to remove the case; save and exit form and verify you're taken to the home screen
4. Navigate back to the graphing module and select "View Cases &amp; Graphs". Verify your case is no longer listed</t>
        </is>
      </c>
      <c r="D27" s="564" t="n"/>
      <c r="E27" s="468" t="n"/>
      <c r="F27" s="468" t="n"/>
      <c r="G27" s="494" t="n"/>
      <c r="H27" s="494" t="n"/>
      <c r="I27" s="140" t="inlineStr">
        <is>
          <t>Automatable</t>
        </is>
      </c>
      <c r="J27" s="0" t="inlineStr">
        <is>
          <t>Yes</t>
        </is>
      </c>
      <c r="K27" s="0" t="inlineStr">
        <is>
          <t>flows_non_core/graphing/graphing_01_05_19_create_case_points_view_and_remove.yaml</t>
        </is>
      </c>
    </row>
    <row r="28">
      <c r="A28" s="284" t="inlineStr">
        <is>
          <t>Graphing 20</t>
        </is>
      </c>
      <c r="B28" s="468" t="inlineStr">
        <is>
          <t>Stacked Graph referenced by report</t>
        </is>
      </c>
      <c r="C28" s="468" t="inlineStr">
        <is>
          <t>1. Navigate to User Info, add a user with a age and weight
2. Navigate to User Reports
3. The graph appears in a stacked view
4. Verify that there is no grid in the background
5. Ensure that the data value labels are displays on top of the bar
6. Ensure that the legend are showns below the graph that points out the color for age.
7. Rotate the device and verify the graph and its contents are still visible and nothing is distorted</t>
        </is>
      </c>
      <c r="D28" s="564" t="n"/>
      <c r="E28" s="468" t="n"/>
      <c r="F28" s="468" t="n"/>
      <c r="G28" s="494" t="n"/>
      <c r="H28" s="494" t="n"/>
      <c r="I28" s="140" t="inlineStr">
        <is>
          <t>Partial</t>
        </is>
      </c>
      <c r="J28" s="0" t="inlineStr">
        <is>
          <t>Yes</t>
        </is>
      </c>
      <c r="K28" s="0" t="inlineStr">
        <is>
          <t>flows_non_core/graphing/graphing_20_22_user_info_report_graphs.yaml (on the 'Graphing - Maestro Reports [DO NOT DELETE]' copy - the original app's graphs read the removed v1 report fixture)</t>
        </is>
      </c>
    </row>
    <row r="29">
      <c r="A29" s="284" t="inlineStr">
        <is>
          <t>Graphing 21</t>
        </is>
      </c>
      <c r="B29" s="468" t="inlineStr">
        <is>
          <t>Stacked Graph Data Labels</t>
        </is>
      </c>
      <c r="C29" s="468" t="inlineStr">
        <is>
          <t>1. Double click on the stacked graph.
2. Tap on one of the bars.
3. A small window should appear, displaying the coordinates of the point.This sould only display age and name, and not weight. You should be able to do this for each of the points.</t>
        </is>
      </c>
      <c r="D29" s="564" t="n"/>
      <c r="E29" s="468" t="n"/>
      <c r="F29" s="468" t="n"/>
      <c r="G29" s="494" t="n"/>
      <c r="H29" s="494" t="n"/>
      <c r="I29" s="140" t="inlineStr">
        <is>
          <t>Not automatable</t>
        </is>
      </c>
      <c r="J29" s="0" t="inlineStr">
        <is>
          <t>N/A</t>
        </is>
      </c>
      <c r="K29" s="0" t="n"/>
    </row>
    <row r="30">
      <c r="A30" s="284" t="inlineStr">
        <is>
          <t>Graphing 22</t>
        </is>
      </c>
      <c r="B30" s="468" t="inlineStr">
        <is>
          <t>Graph with No Axes</t>
        </is>
      </c>
      <c r="C30" s="468" t="inlineStr">
        <is>
          <t>1. Navigate to User Reports
2. Verify that the graph appears without X and Y Axis and the bars and next to one another
3. Rotate the device and verify the graph and its contents are still visible and nothing is distorted</t>
        </is>
      </c>
      <c r="D30" s="564" t="n"/>
      <c r="E30" s="468" t="n"/>
      <c r="F30" s="468" t="n"/>
      <c r="G30" s="494" t="n"/>
      <c r="H30" s="494" t="n"/>
      <c r="I30" s="140" t="inlineStr">
        <is>
          <t>Partial</t>
        </is>
      </c>
      <c r="J30" s="0" t="inlineStr">
        <is>
          <t>Yes</t>
        </is>
      </c>
      <c r="K30" s="0" t="inlineStr">
        <is>
          <t>flows_non_core/graphing/graphing_20_22_user_info_report_graphs.yaml (on the 'Graphing - Maestro Reports [DO NOT DELETE]' copy - the original app's graphs read the removed v1 report fixture)</t>
        </is>
      </c>
    </row>
  </sheetData>
  <mergeCells count="4">
    <mergeCell ref="C1:D1"/>
    <mergeCell ref="B3:D3"/>
    <mergeCell ref="B4:D4"/>
    <mergeCell ref="C2:D2"/>
  </mergeCells>
  <conditionalFormatting sqref="D8:D30">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30"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K9"/>
  <sheetViews>
    <sheetView workbookViewId="0">
      <selection activeCell="A1" sqref="A1"/>
    </sheetView>
  </sheetViews>
  <sheetFormatPr baseColWidth="8" defaultColWidth="17.29" defaultRowHeight="15" customHeight="1"/>
  <cols>
    <col width="18.71" customWidth="1" style="629" min="1" max="1"/>
    <col width="31" customWidth="1" style="629" min="2" max="2"/>
    <col width="85.70999999999999" customWidth="1" style="629" min="3" max="3"/>
    <col width="10.29" customWidth="1" style="629" min="4" max="4"/>
    <col width="15.29" customWidth="1" style="629" min="5" max="6"/>
    <col width="35" customWidth="1" style="629" min="7" max="7"/>
  </cols>
  <sheetData>
    <row r="1" ht="12.75" customHeight="1" s="629">
      <c r="A1" s="115" t="inlineStr">
        <is>
          <t>Test Area:</t>
        </is>
      </c>
      <c r="B1" s="193" t="inlineStr">
        <is>
          <t>CommCare ODK App</t>
        </is>
      </c>
      <c r="C1" s="638" t="n"/>
      <c r="D1" s="295" t="n"/>
      <c r="E1" s="295" t="n"/>
      <c r="F1" s="295" t="n"/>
      <c r="G1" s="295" t="n"/>
    </row>
    <row r="2" ht="25.5" customHeight="1" s="629">
      <c r="A2" s="115" t="inlineStr">
        <is>
          <t>Summary:</t>
        </is>
      </c>
      <c r="B2" s="193" t="inlineStr">
        <is>
          <t>Test the various menus and general workings of CommCare ODK</t>
        </is>
      </c>
      <c r="C2" s="638" t="n"/>
      <c r="D2" s="295" t="n"/>
      <c r="E2" s="295" t="n"/>
      <c r="F2" s="295" t="n"/>
      <c r="G2" s="295" t="n"/>
    </row>
    <row r="3" ht="12.75" customHeight="1" s="629">
      <c r="A3" s="115" t="inlineStr">
        <is>
          <t>Domain:</t>
        </is>
      </c>
      <c r="B3" s="687">
        <f>HYPERLINK("https://www.commcarehq.org/a/qateam/apps/view/cdfa6c85eb594b23b0c08729cd2beff1/","https://www.commcarehq.org/a/qateam/apps/view/cdfa6c85eb594b23b0c08729cd2beff1/")</f>
        <v/>
      </c>
      <c r="C3" s="638" t="n"/>
      <c r="D3" s="295" t="n"/>
      <c r="E3" s="295" t="n"/>
      <c r="F3" s="295" t="n"/>
      <c r="G3" s="295" t="n"/>
    </row>
    <row r="4" ht="12.75" customHeight="1" s="629">
      <c r="A4" s="115" t="inlineStr">
        <is>
          <t xml:space="preserve">Application: </t>
        </is>
      </c>
      <c r="B4" s="193" t="inlineStr">
        <is>
          <t>Basic Test</t>
        </is>
      </c>
      <c r="C4" s="638" t="n"/>
      <c r="D4" s="295" t="n"/>
      <c r="E4" s="295" t="n"/>
      <c r="F4" s="295" t="n"/>
      <c r="G4" s="295" t="n"/>
    </row>
    <row r="5" ht="12.75" customHeight="1" s="629">
      <c r="A5" s="115" t="inlineStr">
        <is>
          <t>Prerequisites:</t>
        </is>
      </c>
      <c r="B5" s="193" t="inlineStr">
        <is>
          <t>Install Test Plan - Setup 1 and Install Case 1, 2, 3 or 4</t>
        </is>
      </c>
      <c r="C5" s="638" t="n"/>
      <c r="D5" s="139" t="n"/>
      <c r="E5" s="139" t="n"/>
      <c r="F5" s="139" t="n"/>
      <c r="G5" s="295" t="n"/>
    </row>
    <row r="6" ht="12.75" customHeight="1" s="629">
      <c r="A6" s="295" t="n"/>
      <c r="B6" s="295" t="n"/>
      <c r="C6" s="295" t="n"/>
      <c r="D6" s="295" t="n"/>
      <c r="E6" s="295" t="n"/>
      <c r="F6" s="295" t="n"/>
      <c r="G6" s="295" t="n"/>
    </row>
    <row r="7" ht="12.75" customHeight="1" s="629">
      <c r="A7" s="298" t="inlineStr">
        <is>
          <t>Test Case ID</t>
        </is>
      </c>
      <c r="B7" s="298" t="inlineStr">
        <is>
          <t>Summary</t>
        </is>
      </c>
      <c r="C7" s="298" t="inlineStr">
        <is>
          <t>Steps</t>
        </is>
      </c>
      <c r="D7" s="298" t="inlineStr">
        <is>
          <t>Pass / Fail</t>
        </is>
      </c>
      <c r="E7" s="298" t="inlineStr">
        <is>
          <t>Notes</t>
        </is>
      </c>
      <c r="F7" s="517" t="inlineStr">
        <is>
          <t>Ticket ID</t>
        </is>
      </c>
      <c r="G7" s="302" t="n"/>
      <c r="I7" s="0" t="inlineStr">
        <is>
          <t>Maestro Automatability</t>
        </is>
      </c>
      <c r="J7" s="0" t="inlineStr">
        <is>
          <t>Automated?</t>
        </is>
      </c>
      <c r="K7" s="0" t="inlineStr">
        <is>
          <t>Flow File</t>
        </is>
      </c>
    </row>
    <row r="8" ht="75" customHeight="1" s="629">
      <c r="A8" s="193" t="inlineStr">
        <is>
          <t>Menu 1</t>
        </is>
      </c>
      <c r="B8" s="305" t="inlineStr">
        <is>
          <t>Report Problem</t>
        </is>
      </c>
      <c r="C8" s="305" t="inlineStr">
        <is>
          <t>1. Login to the application 
2. From the home screen,Click on Menu icon(3 dots) on the top left corner
3. Select 'Advanced' and select 'Report Problem'
4. Enter a comment indicating the entry you are about to make is a test (e.g. "This is a test")
5. Select 'Submit Report'
6. A window should open asking where you would like to send the report from (Gmail, another e-mail, or Google Drive - select the appropriate option for you)
7.  Rotate the device. Verify everything remains the same.
8. Submit the e-mail (optional) or select the back button.
9. You should be returned to the home screen after submitting or selecting the back button.</t>
        </is>
      </c>
      <c r="D8" s="137" t="n"/>
      <c r="E8" s="307" t="inlineStr">
        <is>
          <t>flows/support_menus/menu_01_report_problem.yaml - Partial because step 6's share-target chooser (Gmail/email/Drive) is an Android system share-sheet whose app list depends on what's installed on the specific test device, not a CommCare-controlled screen. Flow asserts the chooser opens and backs out rather than completing a send (not deterministic across devices) - rotation/post-send steps are skipped for the same reason.</t>
        </is>
      </c>
      <c r="F8" s="307" t="n"/>
      <c r="G8" s="295" t="n"/>
      <c r="I8" s="0" t="inlineStr">
        <is>
          <t>Partial</t>
        </is>
      </c>
      <c r="J8" s="0" t="inlineStr">
        <is>
          <t>Yes</t>
        </is>
      </c>
      <c r="K8" s="0" t="inlineStr">
        <is>
          <t>flows/support_menus/menu_01_report_problem.yaml</t>
        </is>
      </c>
    </row>
    <row r="9" ht="54.75" customHeight="1" s="629">
      <c r="A9" s="193" t="inlineStr">
        <is>
          <t>Menu 2</t>
        </is>
      </c>
      <c r="B9" s="308" t="inlineStr">
        <is>
          <t>Force Log Submission</t>
        </is>
      </c>
      <c r="C9" s="193" t="inlineStr">
        <is>
          <t>Pre-requisite: Navigate to the app builder settings page - advance settings and verify that the app is not having the custom properties as " logenabled = on_demand". 
1. Go to the Advanced
2. Select Force Log Submission.
3. Make sure that a message does NOT pop up in the notifications bar that says "Device Logs Pending"</t>
        </is>
      </c>
      <c r="D9" s="137" t="n"/>
      <c r="E9" s="308" t="inlineStr">
        <is>
          <t>flows/support_menus/menu_02_force_log_submission.yaml (on-device consequence check) + scripts/run_support_menus_log_property_check.py (2026-09-01: the sheets own prerequisite - app does NOT have logenabled=on_demand set as a scheduling gate - is now actively VERIFIED via the new read-only HQClient.get_custom_properties(), not just assumed. Confirmed live: the real Basic Tests app already has logenabled=on_demand). Still Partial only because the verification is a separate HQ-API pre-check, not a single unified on-device assertion.</t>
        </is>
      </c>
      <c r="F9" s="308" t="n"/>
      <c r="G9" s="310" t="n"/>
      <c r="I9" s="0" t="inlineStr">
        <is>
          <t>Partial</t>
        </is>
      </c>
      <c r="J9" s="0" t="inlineStr">
        <is>
          <t>Yes</t>
        </is>
      </c>
      <c r="K9" s="0" t="inlineStr">
        <is>
          <t>flows/support_menus/menu_02_force_log_submission.yaml + scripts/run_support_menus_log_property_check.py</t>
        </is>
      </c>
    </row>
  </sheetData>
  <mergeCells count="5">
    <mergeCell ref="B2:C2"/>
    <mergeCell ref="B3:C3"/>
    <mergeCell ref="B5:C5"/>
    <mergeCell ref="B1:C1"/>
    <mergeCell ref="B4:C4"/>
  </mergeCells>
  <conditionalFormatting sqref="D8:D9">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9" showDropDown="0" showInputMessage="0" showErrorMessage="1" allowBlank="1" type="list">
      <formula1>"Pass,Fail,N/A,Blocking"</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7.29" defaultRowHeight="15" customHeight="1"/>
  <cols>
    <col width="16.71" customWidth="1" style="629" min="1" max="1"/>
    <col width="27.43" customWidth="1" style="629" min="2" max="2"/>
    <col width="82.86" customWidth="1" style="629" min="3" max="3"/>
    <col width="17.29" customWidth="1" style="629" min="4" max="4"/>
    <col width="16.43" customWidth="1" style="629" min="5" max="6"/>
  </cols>
  <sheetData>
    <row r="1">
      <c r="A1" s="200" t="inlineStr">
        <is>
          <t>Test Area:</t>
        </is>
      </c>
      <c r="B1" s="497" t="inlineStr">
        <is>
          <t>Coverage Tests</t>
        </is>
      </c>
      <c r="C1" s="638" t="n"/>
      <c r="D1" s="216" t="n"/>
      <c r="E1" s="309" t="n"/>
      <c r="F1" s="309" t="n"/>
    </row>
    <row r="2" ht="16.5" customHeight="1" s="629">
      <c r="A2" s="200" t="inlineStr">
        <is>
          <t>Summary:</t>
        </is>
      </c>
      <c r="B2" s="497" t="inlineStr">
        <is>
          <t>Tests around the case lists and different features for viewing them</t>
        </is>
      </c>
      <c r="C2" s="638" t="n"/>
      <c r="D2" s="216" t="n"/>
      <c r="E2" s="309" t="n"/>
      <c r="F2" s="309" t="n"/>
    </row>
    <row r="3">
      <c r="A3" s="200" t="inlineStr">
        <is>
          <t>Domain:</t>
        </is>
      </c>
      <c r="B3" s="688">
        <f>HYPERLINK("https://www.commcarehq.org/a/qateam/apps/view/cdfa6c85eb594b23b0c08729cd2beff1/","https://www.commcarehq.org/a/qateam/apps/view/cdfa6c85eb594b23b0c08729cd2beff1/")</f>
        <v/>
      </c>
      <c r="C3" s="638" t="n"/>
      <c r="D3" s="216" t="n"/>
      <c r="E3" s="309" t="n"/>
      <c r="F3" s="309" t="n"/>
    </row>
    <row r="4">
      <c r="A4" s="200" t="inlineStr">
        <is>
          <t xml:space="preserve">Application: </t>
        </is>
      </c>
      <c r="B4" s="689" t="inlineStr">
        <is>
          <t xml:space="preserve">Basic Tests, Case Search &amp; Claim app </t>
        </is>
      </c>
      <c r="C4" s="638" t="n"/>
      <c r="D4" s="216" t="n"/>
      <c r="E4" s="309" t="n"/>
      <c r="F4" s="309" t="n"/>
    </row>
    <row r="5">
      <c r="A5" s="200" t="inlineStr">
        <is>
          <t>Frequency:</t>
        </is>
      </c>
      <c r="B5" s="78" t="n">
        <v>1</v>
      </c>
      <c r="C5" s="638" t="n"/>
      <c r="D5" s="216" t="n"/>
      <c r="E5" s="309" t="n"/>
      <c r="F5" s="309" t="n"/>
    </row>
    <row r="6">
      <c r="A6" s="200" t="inlineStr">
        <is>
          <t>Prerequisites:</t>
        </is>
      </c>
      <c r="B6" s="196" t="inlineStr">
        <is>
          <t>Install Test Plan - Setup 1 and Install Case ID 1, 2, 3 or 4</t>
        </is>
      </c>
      <c r="C6" s="638" t="n"/>
      <c r="D6" s="399" t="n"/>
      <c r="E6" s="322" t="n"/>
      <c r="F6" s="322" t="n"/>
    </row>
    <row r="7">
      <c r="A7" s="309" t="n"/>
      <c r="B7" s="309" t="n"/>
      <c r="C7" s="309" t="n"/>
      <c r="D7" s="216" t="n"/>
      <c r="E7" s="309" t="n"/>
      <c r="F7" s="309" t="n"/>
    </row>
    <row r="8">
      <c r="A8" s="537" t="inlineStr">
        <is>
          <t>Test Case ID</t>
        </is>
      </c>
      <c r="B8" s="537" t="inlineStr">
        <is>
          <t>Summary</t>
        </is>
      </c>
      <c r="C8" s="537" t="inlineStr">
        <is>
          <t>Steps</t>
        </is>
      </c>
      <c r="D8" s="537" t="inlineStr">
        <is>
          <t xml:space="preserve">Pass / Fail </t>
        </is>
      </c>
      <c r="E8" s="537" t="inlineStr">
        <is>
          <t>Notes</t>
        </is>
      </c>
      <c r="F8" s="537" t="inlineStr">
        <is>
          <t>Ticket ID</t>
        </is>
      </c>
      <c r="I8" s="0" t="inlineStr">
        <is>
          <t>Maestro Automatability</t>
        </is>
      </c>
      <c r="J8" s="0" t="inlineStr">
        <is>
          <t>Automated?</t>
        </is>
      </c>
      <c r="K8" s="0" t="inlineStr">
        <is>
          <t>Flow File</t>
        </is>
      </c>
    </row>
    <row r="9" ht="64.5" customHeight="1" s="629">
      <c r="A9" s="497" t="inlineStr">
        <is>
          <t>Setup 1</t>
        </is>
      </c>
      <c r="B9" s="497" t="inlineStr">
        <is>
          <t>Login</t>
        </is>
      </c>
      <c r="C9" s="497" t="inlineStr">
        <is>
          <t>1. Enter your user name and password and select "Log In"
2. Verify that a message box pops up saying it's logging in
3. Verify you are directed to the CommCare home screen once successfully logged in
4. Verify that the session expiration message immediately displays in the phone's notification bar after logging in</t>
        </is>
      </c>
      <c r="D9" s="564" t="n"/>
      <c r="E9" s="497" t="inlineStr">
        <is>
          <t>flows/case_filters/fuzzy_search_01_03.yaml also covers this Setup step (registers its own 'Christy' case first, self-contained).</t>
        </is>
      </c>
      <c r="F9" s="497" t="n"/>
      <c r="I9" s="0" t="inlineStr">
        <is>
          <t>Automatable</t>
        </is>
      </c>
      <c r="J9" s="0" t="inlineStr">
        <is>
          <t>Yes</t>
        </is>
      </c>
      <c r="K9" s="0" t="inlineStr">
        <is>
          <t>flows/case_filters/fuzzy_search_01_03.yaml</t>
        </is>
      </c>
    </row>
    <row r="10" ht="26.25" customHeight="1" s="629">
      <c r="A10" s="497" t="inlineStr">
        <is>
          <t>Fuzzy Search 1</t>
        </is>
      </c>
      <c r="B10" s="497" t="inlineStr">
        <is>
          <t>Enable Fuzzy Search</t>
        </is>
      </c>
      <c r="C10" s="497" t="inlineStr">
        <is>
          <t>1. Select the drop down menu on the top right of the screen, and select "Settings"
2. Select "Fuzzy Search Matches" and select "Enabled"</t>
        </is>
      </c>
      <c r="D10" s="564" t="n"/>
      <c r="E10" s="497" t="inlineStr">
        <is>
          <t>flows/case_filters/fuzzy_search_01_03.yaml - Partial because the sheet's own prerequisite case ('Christy') doesn't exist in live app data; flow now creates it itself first rather than assuming it's there.</t>
        </is>
      </c>
      <c r="F10" s="497" t="n"/>
      <c r="I10" s="0" t="inlineStr">
        <is>
          <t>Partial</t>
        </is>
      </c>
      <c r="J10" s="0" t="inlineStr">
        <is>
          <t>Yes</t>
        </is>
      </c>
      <c r="K10" s="0" t="inlineStr">
        <is>
          <t>flows/case_filters/fuzzy_search_01_03.yaml</t>
        </is>
      </c>
    </row>
    <row r="11" ht="158.25" customHeight="1" s="629">
      <c r="A11" s="497" t="inlineStr">
        <is>
          <t>Fuzzy Search 2</t>
        </is>
      </c>
      <c r="B11" s="497" t="inlineStr">
        <is>
          <t>Locate exact match by using the fuzzy search feature</t>
        </is>
      </c>
      <c r="C11" s="497" t="inlineStr">
        <is>
          <t>1. From home screen, Select "Start"--&gt;"Case Tests"--&gt;"Update a Case" (note that in order to complete this test you will have to have one case with the associated name 'Christy')
2. Type the letter, "c" in search; verify the only cases listed are in alphabetical order and contain the letter "c" in the case name (not case-sensitive; any 'c' in the name)
3. Verify the "c" in the word is highlighted Green
4. With "c" still in the text field, type "h" so it reads, "ch"
5. Verify the only cases listed are still in alphabetical order and those that contain the string "ch" in the case name
6. Verify the "ch" is highlighted Green
7. With "ch" still in the text field, type "ris" so the search text reads, "chris"
8. Verify as you type, the case list highlights case names that contain letters in the order it's typed
9. Rotate the device so that it is in horizontal mode. Verify the search list appears correctly as above</t>
        </is>
      </c>
      <c r="D11" s="564" t="n"/>
      <c r="E11" s="497" t="inlineStr">
        <is>
          <t>Same file/reason as Fuzzy Search 1.</t>
        </is>
      </c>
      <c r="F11" s="497" t="n"/>
      <c r="I11" s="0" t="inlineStr">
        <is>
          <t>Partial</t>
        </is>
      </c>
      <c r="J11" s="0" t="inlineStr">
        <is>
          <t>Yes</t>
        </is>
      </c>
      <c r="K11" s="0" t="inlineStr">
        <is>
          <t>flows/case_filters/fuzzy_search_01_03.yaml</t>
        </is>
      </c>
    </row>
    <row r="12" ht="64.5" customHeight="1" s="629">
      <c r="A12" s="497" t="inlineStr">
        <is>
          <t>Fuzzy Search 3</t>
        </is>
      </c>
      <c r="B12" s="497" t="inlineStr">
        <is>
          <t>Locate fuzzy match</t>
        </is>
      </c>
      <c r="C12" s="497" t="inlineStr">
        <is>
          <t>1. From home screen, Select "Start"--&gt;"Case Tests"--&gt;"Update a Case" (note that in order to complete this test you will have to have one case with the associated name 'Christy')
2. At the top of the screen you'll see the search icon (magnifying glass), select it
3. Type, "Krist" in the search text field 
4. Verify the only results that appear are "Christy" and that any other cases that appear in the search are syntactically similar</t>
        </is>
      </c>
      <c r="D12" s="564" t="n"/>
      <c r="E12" s="497" t="inlineStr">
        <is>
          <t>Same file/reason as Fuzzy Search 1.</t>
        </is>
      </c>
      <c r="F12" s="497" t="n"/>
      <c r="I12" s="0" t="inlineStr">
        <is>
          <t>Partial</t>
        </is>
      </c>
      <c r="J12" s="0" t="inlineStr">
        <is>
          <t>Yes</t>
        </is>
      </c>
      <c r="K12" s="0" t="inlineStr">
        <is>
          <t>flows/case_filters/fuzzy_search_01_03.yaml</t>
        </is>
      </c>
    </row>
    <row r="13" ht="102.75" customHeight="1" s="629">
      <c r="A13" s="497" t="inlineStr">
        <is>
          <t>Case Lists 1</t>
        </is>
      </c>
      <c r="B13" s="497" t="inlineStr">
        <is>
          <t>Test case details GPS function</t>
        </is>
      </c>
      <c r="C13" s="497" t="inlineStr">
        <is>
          <t>1. Navigate to the "Case Tests"--&gt;"Update a Case"
2. Select a case
3. Click the "Show Address" button on the details screen (if a case was created that contains no geodata, return to the case list and choose another)
4. Verify that CommCare redirects you to select your phone's map application (or launches your map application if you only have one map app installed on your device)
5. Verify the application launches and the case location is pinned on the map with its coordinates displayed</t>
        </is>
      </c>
      <c r="D13" s="564" t="n"/>
      <c r="E13" s="497" t="inlineStr">
        <is>
          <t>Launches the device's external maps app to pin/view case geodata - a cross-app handoff whose exact app/UI depends on what's installed on the specific test device, not something Maestro/this repo can assert deterministically. Not yet built.</t>
        </is>
      </c>
      <c r="F13" s="497" t="n"/>
      <c r="I13" s="0" t="inlineStr">
        <is>
          <t>Not automatable</t>
        </is>
      </c>
      <c r="J13" s="0" t="inlineStr">
        <is>
          <t>N/A</t>
        </is>
      </c>
    </row>
    <row r="14" ht="90" customHeight="1" s="629">
      <c r="A14" s="497" t="inlineStr">
        <is>
          <t>Case Lists 2</t>
        </is>
      </c>
      <c r="B14" s="497" t="inlineStr">
        <is>
          <t>Test case map function</t>
        </is>
      </c>
      <c r="C14" s="497" t="inlineStr">
        <is>
          <t>1. Navigate back to CommCare and return to "Geoservices"--&gt;"Rate Case"
2. Press the drop down menu button on the top right, and click "View on Map"
3. Verify that CommCare launches a map and all cases that have geodata are pinned on the map
4. Verify that when you select a case on the map it displays its name and rating5. Select the case again from the map and verify it redirects you to the case details screen</t>
        </is>
      </c>
      <c r="D14" s="564" t="n"/>
      <c r="E14" s="331" t="inlineStr">
        <is>
          <t>Launches the device's external maps app to pin/view case geodata - a cross-app handoff whose exact app/UI depends on what's installed on the specific test device, not something Maestro/this repo can assert deterministically. Not yet built.</t>
        </is>
      </c>
      <c r="F14" s="331" t="n"/>
      <c r="I14" s="0" t="inlineStr">
        <is>
          <t>Not automatable</t>
        </is>
      </c>
      <c r="J14" s="0" t="inlineStr">
        <is>
          <t>N/A</t>
        </is>
      </c>
    </row>
    <row r="15" ht="26.25" customHeight="1" s="629">
      <c r="A15" s="497" t="inlineStr">
        <is>
          <t>Case Lists 3</t>
        </is>
      </c>
      <c r="B15" s="497" t="inlineStr">
        <is>
          <t>Register geoservices case</t>
        </is>
      </c>
      <c r="C15" s="497" t="inlineStr">
        <is>
          <t>1. Navigate to "Geoservices"--&gt;"Register a Case"
2. Record answers for the two questions and save and exit the form</t>
        </is>
      </c>
      <c r="D15" s="564" t="n"/>
      <c r="E15" s="497" t="inlineStr">
        <is>
          <t>Register Case has 2 questions: a name field and a required geopoint (no map-tap fallback). Built 2026-08-11: flows/case_filters/geoservices_01_register_case.yaml / geoservices_02_rate_case.yaml, ground-truthed against resources/qateam - [Master] Basic Tests - v1141.ccz (suite.xml + app_strings.txt + form XML), not guessed. Kept Partial rather than Automatable because Register Case's site_location question is a required geopoint with no appearance="maps" attribute, so it needs a real GPS/network-fusion location fix (up to 60s, no manual-entry fallback) to save at all - genuinely best-effort on a cloud device, not guaranteed, confirmed via commcare-android source (GeoPointWidget.java/GeoPointActivity.java).</t>
        </is>
      </c>
      <c r="F15" s="497" t="n"/>
      <c r="H15" s="0" t="inlineStr">
        <is>
          <t>Partial</t>
        </is>
      </c>
      <c r="I15" s="0" t="inlineStr">
        <is>
          <t>Partial</t>
        </is>
      </c>
      <c r="J15" s="0" t="inlineStr">
        <is>
          <t>Yes</t>
        </is>
      </c>
      <c r="K15" s="0" t="inlineStr">
        <is>
          <t>flows/case_filters/geoservices_01_register_case.yaml</t>
        </is>
      </c>
    </row>
    <row r="16" ht="26.25" customHeight="1" s="629">
      <c r="A16" s="497" t="inlineStr">
        <is>
          <t>End Form 1</t>
        </is>
      </c>
      <c r="B16" s="497" t="inlineStr">
        <is>
          <t>Verify form navigation</t>
        </is>
      </c>
      <c r="C16" s="497" t="inlineStr">
        <is>
          <t>3.Verify you're returned to the form list ("Basic Tests, Geoservices" will display across the top of the screen)</t>
        </is>
      </c>
      <c r="D16" s="564" t="n"/>
      <c r="E16" s="497" t="inlineStr">
        <is>
          <t>Same file as Case Lists 3 (this is its trailing assertion). Built 2026-08-11: flows/case_filters/geoservices_01_register_case.yaml / geoservices_02_rate_case.yaml, ground-truthed against resources/qateam - [Master] Basic Tests - v1141.ccz (suite.xml + app_strings.txt + form XML), not guessed. Kept Partial rather than Automatable because Register Case's site_location question is a required geopoint with no appearance="maps" attribute, so it needs a real GPS/network-fusion location fix (up to 60s, no manual-entry fallback) to save at all - genuinely best-effort on a cloud device, not guaranteed, confirmed via commcare-android source (GeoPointWidget.java/GeoPointActivity.java).</t>
        </is>
      </c>
      <c r="F16" s="497" t="n"/>
      <c r="H16" s="0" t="inlineStr">
        <is>
          <t>Partial</t>
        </is>
      </c>
      <c r="I16" s="0" t="inlineStr">
        <is>
          <t>Partial</t>
        </is>
      </c>
      <c r="J16" s="0" t="inlineStr">
        <is>
          <t>Yes</t>
        </is>
      </c>
      <c r="K16" s="0" t="inlineStr">
        <is>
          <t>flows/case_filters/geoservices_01_register_case.yaml</t>
        </is>
      </c>
    </row>
    <row r="17" ht="64.5" customHeight="1" s="629">
      <c r="A17" s="497" t="inlineStr">
        <is>
          <t>Case Lists 4</t>
        </is>
      </c>
      <c r="B17" s="497" t="inlineStr">
        <is>
          <t>Update geoservices case</t>
        </is>
      </c>
      <c r="C17" s="497" t="inlineStr">
        <is>
          <t>1. Select "Rate Case"
2. Select your case you created in Case Lists 3 and "select" again to update it
3. Choose a rating and answer the text question
4. Save and exit the form
5. Verify you are returned to the home screen</t>
        </is>
      </c>
      <c r="D17" s="564" t="n"/>
      <c r="E17" s="497" t="inlineStr">
        <is>
          <t>Self-contained: registers its own geo_case first (same geopoint dependency as Case Lists 3), then rates it and verifies return to the home screen (confirmed via suite.xml: Rate Case's entry has no &lt;stack&gt; override back to the Geoservices menu, unlike Register Case's). Built 2026-08-11: flows/case_filters/geoservices_01_register_case.yaml / geoservices_02_rate_case.yaml, ground-truthed against resources/qateam - [Master] Basic Tests - v1141.ccz (suite.xml + app_strings.txt + form XML), not guessed. Kept Partial rather than Automatable because Register Case's site_location question is a required geopoint with no appearance="maps" attribute, so it needs a real GPS/network-fusion location fix (up to 60s, no manual-entry fallback) to save at all - genuinely best-effort on a cloud device, not guaranteed, confirmed via commcare-android source (GeoPointWidget.java/GeoPointActivity.java).</t>
        </is>
      </c>
      <c r="F17" s="497" t="n"/>
      <c r="H17" s="0" t="inlineStr">
        <is>
          <t>Partial</t>
        </is>
      </c>
      <c r="I17" s="0" t="inlineStr">
        <is>
          <t>Partial</t>
        </is>
      </c>
      <c r="J17" s="0" t="inlineStr">
        <is>
          <t>Yes</t>
        </is>
      </c>
      <c r="K17" s="0" t="inlineStr">
        <is>
          <t>flows/case_filters/geoservices_02_rate_case.yaml</t>
        </is>
      </c>
    </row>
    <row r="18" ht="115.5" customHeight="1" s="629">
      <c r="A18" s="335" t="inlineStr">
        <is>
          <t>Case Lists 5</t>
        </is>
      </c>
      <c r="B18" s="497" t="inlineStr">
        <is>
          <t>Test case details for geoservices</t>
        </is>
      </c>
      <c r="C18" s="497" t="inlineStr">
        <is>
          <t>1. Select "Start"--&gt;"Geoservices"--&gt;"Rate Case"
2. Verify your case appears in the case list with a star rating according to what you rated the case in Case Lists 4 (if you rated a 3, 3 stars will display)
3. Select your case and verify the case detail list is updated with the information entered in Case Lists 4
4. Select "Show Address" and verify your device prompts you to select your maps application. Select your app, and then, "Just Once" (Note: this prompt will only appear if you have more than one maps app on your device)
5. Verify the map displays the case location and it's coordinates</t>
        </is>
      </c>
      <c r="D18" s="564" t="n"/>
      <c r="E18" s="497" t="inlineStr">
        <is>
          <t>PARTIAL: only steps 1-3 automated (star rating shown correctly in both the case list and the case's own detail/confirm screen - confirmed via app_strings.txt that ratings render as literal star characters, e.g. "★★★" for a rating of 3). Steps 4-5 ("Select Show Address" -&gt; external maps app launch + pin verification) are NOT automated - same cross-app/non-deterministic limitation as the map-dependent rows above (Case Lists 1/2). Built 2026-08-11: flows/case_filters/geoservices_01_register_case.yaml / geoservices_02_rate_case.yaml, ground-truthed against resources/qateam - [Master] Basic Tests - v1141.ccz (suite.xml + app_strings.txt + form XML), not guessed. Kept Partial rather than Automatable because Register Case's site_location question is a required geopoint with no appearance="maps" attribute, so it needs a real GPS/network-fusion location fix (up to 60s, no manual-entry fallback) to save at all - genuinely best-effort on a cloud device, not guaranteed, confirmed via commcare-android source (GeoPointWidget.java/GeoPointActivity.java).</t>
        </is>
      </c>
      <c r="F18" s="497" t="n"/>
      <c r="H18" s="0" t="inlineStr">
        <is>
          <t>Partial</t>
        </is>
      </c>
      <c r="I18" s="0" t="inlineStr">
        <is>
          <t>Partial</t>
        </is>
      </c>
      <c r="J18" s="0" t="inlineStr">
        <is>
          <t>Yes</t>
        </is>
      </c>
      <c r="K18" s="0" t="inlineStr">
        <is>
          <t>flows/case_filters/geoservices_02_rate_case.yaml</t>
        </is>
      </c>
    </row>
    <row r="19" ht="115.5" customHeight="1" s="629">
      <c r="A19" s="336" t="inlineStr">
        <is>
          <t>Case Search &amp; Claim 1</t>
        </is>
      </c>
      <c r="B19" s="351" t="inlineStr">
        <is>
          <t>Explore date widget in Case search &amp; Claim app</t>
        </is>
      </c>
      <c r="C19" s="351" t="inlineStr">
        <is>
          <t>1. Navigate to Songs (Search First) on Case Search and Claim app
2. On the Case Search page &gt; Enter a single date in millitary format (YYYY-MM-DD) manually for Date Opened search field &gt; Press Enter on Keyboard
3. Ensure the entered date is seen on the calendar widget and the end date is autopopulated (which should be same as the entered date)
4. Verify the search results are filtered as per the date entered.
Note: The US Date Format (MM/DD/YYYY) is not supported as yet so they will be parsed incorrectly but no warning message shown.</t>
        </is>
      </c>
      <c r="D19" s="564" t="n"/>
      <c r="E19" s="497" t="inlineStr">
        <is>
          <t>RESOLVED (2026-09-16): the referenced "Case Search and Claim" app genuinely exists (domain casesearch, app_id 414ea62a6610470eb8582a13954515ea) - confirmed via a direct user-supplied app link. REWRITTEN (2026-09-17), per direct user instruction after reviewing a real device recording: targets "Songs (Search First)" - the module this row's own steps literally name - rather than an earlier "Songs (See More)" pivot that existed only because an earlier version required real matching data to prove the date filter works. Search First's own pre-filled defaults (Song Name="Default Song", Rating=*****) make every query return zero matches regardless of date - the user's own recording confirmed this "Query response had no results" outcome is normal and acceptable here, not a failure, so the scenario no longer needs a real matching case at all: it verifies the Date Opened field is present, that entering a single date (today's date) in the calendar picker's start/end fields genuinely collapses the field to "&lt;date&gt; to &lt;date&gt;", then submits the query and accepts EITHER a real results screen OR a clean "no results" toast as a pass. See scripts/appium_case_search_claim_scenarios.py's own module docstring for the full citation. Verified passing live locally (two clean consecutive runs) before being wired into CI.</t>
        </is>
      </c>
      <c r="F19" s="497" t="n"/>
      <c r="I19" s="0" t="inlineStr">
        <is>
          <t>Automatable</t>
        </is>
      </c>
      <c r="J19" s="0" t="inlineStr">
        <is>
          <t>Yes</t>
        </is>
      </c>
      <c r="K19" s="0" t="inlineStr">
        <is>
          <t>scripts/appium_case_search_claim_scenarios.py, scripts/run_case_search_claim_suite.py</t>
        </is>
      </c>
    </row>
    <row r="20" ht="115.5" customHeight="1" s="629">
      <c r="A20" s="336" t="inlineStr">
        <is>
          <t>Case Search &amp; Claim 2</t>
        </is>
      </c>
      <c r="B20" s="351" t="inlineStr">
        <is>
          <t>Date Widget - Single Date</t>
        </is>
      </c>
      <c r="C20" s="351" t="inlineStr">
        <is>
          <t>1. Open the menu Songs (Search First) on Case Search &amp; Claim app.
2. Select a song
3. Open Shows (Note a available show date)
4. Search Again
5. Search by Show Date. You can use the one noted in step 3.  (Note: default filters will be applied on that)
6. Ensure that it is functional on webapps.
7. Verify the calendar icon in the widget, set's today’s date, the trash, clears the date and the close icon, closes the calendar widget.</t>
        </is>
      </c>
      <c r="D20" s="564" t="n"/>
      <c r="E20" s="497" t="inlineStr">
        <is>
          <t>RESOLVED to PARTIAL (2026-09-17), same app as Case Search &amp; Claim 1 (row 19) - domain casesearch, app_id 414ea62a6610470eb8582a13954515ea. Steps 1-4 (open Songs (Search First), select a song, open Shows, Search Again/open the search form) are real, live-confirmed navigation and are automated. BLOCKER CONFIRMED LIVE: the Shows module's own "Show Date" search property (when_is_the_show, input_="date") genuinely never renders as a query prompt at all - a UI rendering gap on this app's currently installed CommCare client, not a data problem (the only input_="date" field across this app's modules; every other date field, including row 19's own, uses the working input_="daterange" widget). RESOLVED, per direct user instruction after reviewing a real device recording: a NEW property was added to this module - "Date Opened" (input_="daterange", confirmed live) - which renders and works. This scenario uses that field (not literally "Show Date", but the row's practical "search by date" intent) the same way row 19 uses its own Date Opened field: enters today's date, verifies the field collapses to "&lt;date&gt; to &lt;date&gt;", submits the query, and accepts EITHER a real results screen OR a clean "no results" toast as a pass. Step 6 ("functional on webapps") stays out of scope for this mobile-only repo; step 7 against the ORIGINAL "Show Date" widget specifically stays not automatable since that field still doesn't render. Also benefits from a shared fix: this device's date picker's expected text-entry order (mm/dd/y vs dd/mm/y) varies by BrowserStack session, so the scenario now detects the correct order live via a validation hint rather than assuming one. See scripts/appium_case_search_claim_2_scenarios.py's own module docstring for the full citation. Verified passing live locally (multiple clean consecutive runs) before being wired into CI.</t>
        </is>
      </c>
      <c r="F20" s="497" t="n"/>
      <c r="I20" s="0" t="inlineStr">
        <is>
          <t>Partial</t>
        </is>
      </c>
      <c r="J20" s="0" t="inlineStr">
        <is>
          <t>Yes</t>
        </is>
      </c>
      <c r="K20" s="0" t="inlineStr">
        <is>
          <t>scripts/appium_case_search_claim_2_scenarios.py, scripts/run_case_search_claim_2_suite.py</t>
        </is>
      </c>
    </row>
    <row r="21" ht="15" customHeight="1" s="629">
      <c r="A21" s="340" t="inlineStr">
        <is>
          <t>Case List Barcode Scan Search</t>
        </is>
      </c>
      <c r="B21" s="341" t="n"/>
      <c r="C21" s="341" t="n"/>
      <c r="D21" s="342" t="n"/>
      <c r="E21" s="341" t="n"/>
      <c r="F21" s="341" t="n"/>
    </row>
    <row r="22" ht="115.5" customHeight="1" s="629">
      <c r="A22" s="336" t="inlineStr">
        <is>
          <t>Case List Search</t>
        </is>
      </c>
      <c r="B22" s="336" t="inlineStr">
        <is>
          <t>Case List Barcode Scan Search</t>
        </is>
      </c>
      <c r="C22" s="343" t="inlineStr">
        <is>
          <t>1. Go to https://www.the-qrcode-generator.com/
2. Add some text and generate a QR code
3. Open the Basic Tests App
2. Login as test1/123
3. Go to Case Tests 
4. Add a case with name same as the text entered in step 1
5. Go to &gt; Update Case Tests
6. Open the barcode scanner beside the search field to search the case you just added
7. Enable auto rotate on your device and rotate the screen
8. Scan the qrcode you generated in step 2
9. Verify the case you just searched is returned in results.</t>
        </is>
      </c>
      <c r="D22" s="564" t="n"/>
      <c r="E22" s="387" t="inlineStr">
        <is>
          <t>Requires generating a QR code via an external website and scanning it with the device camera through the barcode scanner - real camera-based QR scanning isn't something BrowserStack's remote device farm supports feeding a live image into; genuine hardware-input limitation, not a flow gap.</t>
        </is>
      </c>
      <c r="F22" s="387" t="n"/>
      <c r="I22" s="0" t="inlineStr">
        <is>
          <t>Not automatable</t>
        </is>
      </c>
      <c r="J22" s="0" t="inlineStr">
        <is>
          <t>N/A</t>
        </is>
      </c>
    </row>
  </sheetData>
  <mergeCells count="6">
    <mergeCell ref="B6:C6"/>
    <mergeCell ref="B2:C2"/>
    <mergeCell ref="B3:C3"/>
    <mergeCell ref="B5:C5"/>
    <mergeCell ref="B1:C1"/>
    <mergeCell ref="B4:C4"/>
  </mergeCells>
  <conditionalFormatting sqref="D9:D20 D22">
    <cfRule type="containsText" priority="1" operator="containsText" dxfId="0" text="Pass">
      <formula>NOT(ISERROR(SEARCH(("Pass"),(D9))))</formula>
    </cfRule>
    <cfRule type="containsText" priority="2" operator="containsText" dxfId="1" text="Fail">
      <formula>NOT(ISERROR(SEARCH(("Fail"),(D9))))</formula>
    </cfRule>
    <cfRule type="containsText" priority="3" operator="containsText" dxfId="2" text="N/A">
      <formula>NOT(ISERROR(SEARCH(("N/A"),(D9))))</formula>
    </cfRule>
    <cfRule type="containsText" priority="4" operator="containsText" dxfId="3" text="Blocking">
      <formula>NOT(ISERROR(SEARCH(("Blocking"),(D9))))</formula>
    </cfRule>
  </conditionalFormatting>
  <dataValidations count="1">
    <dataValidation sqref="D9:D20 D22" showDropDown="0" showInputMessage="0" showErrorMessage="1" allowBlank="1" type="list">
      <formula1>"Pass,Fail,N/A,Blocking"</formula1>
    </dataValidation>
  </dataValidations>
  <hyperlinks>
    <hyperlink xmlns:r="http://schemas.openxmlformats.org/officeDocument/2006/relationships" ref="B4" r:id="rId1"/>
    <hyperlink xmlns:r="http://schemas.openxmlformats.org/officeDocument/2006/relationships" ref="C22" r:id="rId2"/>
  </hyperlink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9"/>
  <sheetViews>
    <sheetView workbookViewId="0">
      <selection activeCell="A1" sqref="A1"/>
    </sheetView>
  </sheetViews>
  <sheetFormatPr baseColWidth="8" defaultColWidth="17.29" defaultRowHeight="15" customHeight="1"/>
  <cols>
    <col width="17.29" customWidth="1" style="629" min="1" max="1"/>
    <col width="28" customWidth="1" style="629" min="2" max="2"/>
    <col width="76.29000000000001" customWidth="1" style="629" min="3" max="3"/>
    <col width="23.71" customWidth="1" style="629" min="4" max="6"/>
    <col width="17.29" customWidth="1" style="629" min="7" max="7"/>
  </cols>
  <sheetData>
    <row r="1">
      <c r="A1" s="536" t="inlineStr">
        <is>
          <t>Test Area:</t>
        </is>
      </c>
      <c r="B1" s="387" t="inlineStr">
        <is>
          <t>Session Expiration</t>
        </is>
      </c>
      <c r="C1" s="387" t="inlineStr">
        <is>
          <t>Note: This application is set up to log you out automatically after 45 seconds.</t>
        </is>
      </c>
      <c r="D1" s="320" t="n"/>
      <c r="E1" s="216" t="n"/>
      <c r="F1" s="216" t="n"/>
      <c r="G1" s="216" t="n"/>
    </row>
    <row r="2" ht="26.25" customHeight="1" s="629">
      <c r="A2" s="536" t="inlineStr">
        <is>
          <t>Summary:</t>
        </is>
      </c>
      <c r="B2" s="387" t="inlineStr">
        <is>
          <t>Test ODK Errors and other features</t>
        </is>
      </c>
      <c r="C2" s="638" t="n"/>
      <c r="D2" s="320" t="n"/>
      <c r="E2" s="216" t="n"/>
      <c r="F2" s="216" t="n"/>
      <c r="G2" s="216" t="n"/>
    </row>
    <row r="3">
      <c r="A3" s="536" t="inlineStr">
        <is>
          <t>Domain:</t>
        </is>
      </c>
      <c r="B3" s="690" t="inlineStr">
        <is>
          <t>https://www.commcarehq.org/a/qateam/apps/view/825e17ec246c487ab2d51c6696463898/</t>
        </is>
      </c>
      <c r="C3" s="638" t="n"/>
      <c r="D3" s="320" t="n"/>
      <c r="E3" s="216" t="n"/>
      <c r="F3" s="216" t="n"/>
      <c r="G3" s="216" t="n"/>
    </row>
    <row r="4">
      <c r="A4" s="536" t="inlineStr">
        <is>
          <t xml:space="preserve">Application: </t>
        </is>
      </c>
      <c r="B4" s="387" t="inlineStr">
        <is>
          <t>Session Expiration Test</t>
        </is>
      </c>
      <c r="C4" s="638" t="n"/>
      <c r="D4" s="320" t="n"/>
      <c r="E4" s="216" t="n"/>
      <c r="F4" s="216" t="n"/>
      <c r="G4" s="216" t="n"/>
    </row>
    <row r="5">
      <c r="A5" s="329" t="n"/>
      <c r="B5" s="330" t="n"/>
      <c r="C5" s="216" t="n"/>
      <c r="D5" s="320" t="n"/>
      <c r="E5" s="216" t="n"/>
      <c r="F5" s="216" t="n"/>
      <c r="G5" s="216" t="n"/>
    </row>
    <row r="6">
      <c r="A6" s="332" t="n"/>
      <c r="B6" s="332" t="n"/>
      <c r="C6" s="332" t="n"/>
      <c r="D6" s="333" t="n"/>
      <c r="E6" s="332" t="n"/>
      <c r="F6" s="332" t="n"/>
      <c r="G6" s="216" t="n"/>
    </row>
    <row r="7">
      <c r="A7" s="536" t="inlineStr">
        <is>
          <t>Test Case ID</t>
        </is>
      </c>
      <c r="B7" s="536" t="inlineStr">
        <is>
          <t>Summary</t>
        </is>
      </c>
      <c r="C7" s="536" t="inlineStr">
        <is>
          <t>Steps</t>
        </is>
      </c>
      <c r="D7" s="537" t="inlineStr">
        <is>
          <t>Pass/Fail</t>
        </is>
      </c>
      <c r="E7" s="536" t="inlineStr">
        <is>
          <t>Notes</t>
        </is>
      </c>
      <c r="F7" s="283" t="inlineStr">
        <is>
          <t>Ticket ID</t>
        </is>
      </c>
      <c r="G7" s="405" t="n"/>
      <c r="I7" s="0" t="inlineStr">
        <is>
          <t>Maestro Automatability</t>
        </is>
      </c>
      <c r="J7" s="0" t="inlineStr">
        <is>
          <t>Automated?</t>
        </is>
      </c>
      <c r="K7" s="0" t="inlineStr">
        <is>
          <t>Flow File</t>
        </is>
      </c>
    </row>
    <row r="8" ht="179.25" customHeight="1" s="629">
      <c r="A8" s="387" t="inlineStr">
        <is>
          <t>Setup 1</t>
        </is>
      </c>
      <c r="B8" s="387" t="inlineStr">
        <is>
          <t>Install Application</t>
        </is>
      </c>
      <c r="C8" s="387" t="inlineStr">
        <is>
          <t>1. Uninstall the existing CommCare app from your device
2. Install the app version in test to your device
3. Navigate to Commcare HQ Domain and application: https://www.commcarehq.org/a/qateam/apps/view/825e17ec246c487ab2d51c6696463898/
4. Navigate to Release Manager
5. Select the latest version of the "Session Expiration Test" application and select "Publish"
6. Select "Download to Android"
7. Select "Scan the Bar Code" and scan with your device
8. Tap on "Start Install"
9. Verify that CommCare successfully installs and you are taken to the log-in screen</t>
        </is>
      </c>
      <c r="D8" s="564" t="n"/>
      <c r="E8" s="387" t="inlineStr">
        <is>
          <t>flows/session_expiration/setup_01_install_application.yaml - RECLASSIFIED Automatable (2026-09-01, corrected a stale Partial claim): install_app_by_code.yaml resolves APP_CODE_SESSION_EXPIRATION server-side via the same HQ_WEB_USER_EMAIL/PASSWORD every other app-code flow in this suite already uses (resolve_app_codes(), once per run) - no live on-device email/password entry, unlike Install 8s genuinely different web-user-login mechanism. Confirmed passing live.</t>
        </is>
      </c>
      <c r="F8" s="387" t="n"/>
      <c r="G8" s="216" t="n"/>
      <c r="I8" s="0" t="inlineStr">
        <is>
          <t>Automatable</t>
        </is>
      </c>
      <c r="J8" s="0" t="inlineStr">
        <is>
          <t>Yes</t>
        </is>
      </c>
      <c r="K8" s="0" t="inlineStr">
        <is>
          <t>flows/session_expiration/setup_01_install_application.yaml</t>
        </is>
      </c>
    </row>
    <row r="9" ht="27" customHeight="1" s="629">
      <c r="A9" s="387" t="inlineStr">
        <is>
          <t>Setup 2</t>
        </is>
      </c>
      <c r="B9" s="387" t="inlineStr">
        <is>
          <t>Restore User</t>
        </is>
      </c>
      <c r="C9" s="387" t="inlineStr">
        <is>
          <t>1. Enter your user name and password (test1/123 or test2/123) and select "Log In"
2. Verify that a message box pops up saying it's logging in
3. Verify you are directed to the CommCare home screen once successfully logged in
4. Verify that the session expiration message immediately displays in the phone's notification bar after logging in
--- Note that the session expiration time has been set to 45 seconds. You will have plenty of time to perform the test, but you may need to do so quickly.</t>
        </is>
      </c>
      <c r="D9" s="564" t="n"/>
      <c r="E9" s="387" t="inlineStr">
        <is>
          <t>flows/session_expiration/setup_02_restore_user_session_expires.yaml - RECLASSIFIED Automatable (2026-09-01), same correction as Setup 1. Confirmed passing live: session-expiration notification appears, and the app genuinely logs out back to the login screen once the real 45-second window elapses.</t>
        </is>
      </c>
      <c r="F9" s="387" t="n"/>
      <c r="G9" s="216" t="n"/>
      <c r="I9" s="0" t="inlineStr">
        <is>
          <t>Automatable</t>
        </is>
      </c>
      <c r="J9" s="0" t="inlineStr">
        <is>
          <t>Yes</t>
        </is>
      </c>
      <c r="K9" s="0" t="inlineStr">
        <is>
          <t>flows/session_expiration/setup_02_restore_user_session_expires.yaml</t>
        </is>
      </c>
    </row>
  </sheetData>
  <mergeCells count="3">
    <mergeCell ref="B3:C3"/>
    <mergeCell ref="B4:C4"/>
    <mergeCell ref="B2:C2"/>
  </mergeCells>
  <conditionalFormatting sqref="D8:D9">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9"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K15"/>
  <sheetViews>
    <sheetView workbookViewId="0">
      <selection activeCell="A1" sqref="A1"/>
    </sheetView>
  </sheetViews>
  <sheetFormatPr baseColWidth="8" defaultColWidth="17.29" defaultRowHeight="15" customHeight="1"/>
  <cols>
    <col width="27.14" customWidth="1" style="629" min="1" max="1"/>
    <col width="33.14" customWidth="1" style="629" min="2" max="2"/>
    <col width="75.43000000000001" customWidth="1" style="629" min="3" max="3"/>
    <col width="17.29" customWidth="1" style="629" min="4" max="7"/>
  </cols>
  <sheetData>
    <row r="1">
      <c r="A1" s="536" t="inlineStr">
        <is>
          <t>Test Area:</t>
        </is>
      </c>
      <c r="B1" s="387" t="inlineStr">
        <is>
          <t>Conditional Enum in Case List</t>
        </is>
      </c>
      <c r="C1" s="638" t="n"/>
      <c r="D1" s="216" t="n"/>
      <c r="E1" s="216" t="n"/>
      <c r="F1" s="216" t="n"/>
      <c r="G1" s="216" t="n"/>
    </row>
    <row r="2" ht="26.25" customHeight="1" s="629">
      <c r="A2" s="536" t="inlineStr">
        <is>
          <t>Summary:</t>
        </is>
      </c>
      <c r="B2" s="387" t="inlineStr">
        <is>
          <t>Test Conditional ID Mapping</t>
        </is>
      </c>
      <c r="C2" s="638" t="n"/>
      <c r="D2" s="216" t="n"/>
      <c r="E2" s="216" t="n"/>
      <c r="F2" s="216" t="n"/>
      <c r="G2" s="216" t="n"/>
    </row>
    <row r="3">
      <c r="A3" s="536" t="inlineStr">
        <is>
          <t>Domain:</t>
        </is>
      </c>
      <c r="B3" s="691" t="inlineStr">
        <is>
          <t>https://www.commcarehq.org/a/qateam/apps/view/2b3f11fa7e4f4d1a9d94aa9a93272e80/</t>
        </is>
      </c>
      <c r="C3" s="638" t="n"/>
      <c r="D3" s="216" t="n"/>
      <c r="E3" s="216" t="n"/>
      <c r="F3" s="216" t="n"/>
      <c r="G3" s="216" t="n"/>
    </row>
    <row r="4">
      <c r="A4" s="536" t="inlineStr">
        <is>
          <t xml:space="preserve">Application: </t>
        </is>
      </c>
      <c r="B4" s="691">
        <f>HYPERLINK("https://www.commcarehq.org/a/qateam/apps/view/2b3f11fa7e4f4d1a9d94aa9a93272e80/","Conditional Enum in Case List")</f>
        <v/>
      </c>
      <c r="C4" s="638" t="n"/>
      <c r="D4" s="216" t="n"/>
      <c r="E4" s="216" t="n"/>
      <c r="F4" s="216" t="n"/>
      <c r="G4" s="216" t="n"/>
    </row>
    <row r="5">
      <c r="A5" s="329" t="n"/>
      <c r="B5" s="330" t="n"/>
      <c r="C5" s="216" t="n"/>
      <c r="D5" s="216" t="n"/>
      <c r="E5" s="216" t="n"/>
      <c r="F5" s="216" t="n"/>
      <c r="G5" s="216" t="n"/>
    </row>
    <row r="6">
      <c r="A6" s="347" t="n"/>
      <c r="B6" s="332" t="n"/>
      <c r="C6" s="332" t="n"/>
      <c r="D6" s="332" t="n"/>
      <c r="E6" s="332" t="n"/>
      <c r="F6" s="332" t="n"/>
      <c r="G6" s="216" t="n"/>
    </row>
    <row r="7">
      <c r="A7" s="536" t="inlineStr">
        <is>
          <t>Test Case ID</t>
        </is>
      </c>
      <c r="B7" s="536" t="inlineStr">
        <is>
          <t>Summary</t>
        </is>
      </c>
      <c r="C7" s="536" t="inlineStr">
        <is>
          <t>Steps</t>
        </is>
      </c>
      <c r="D7" s="536" t="inlineStr">
        <is>
          <t>Pass / Fail</t>
        </is>
      </c>
      <c r="E7" s="536" t="inlineStr">
        <is>
          <t>Notes</t>
        </is>
      </c>
      <c r="F7" s="536" t="inlineStr">
        <is>
          <t>Ticket ID</t>
        </is>
      </c>
      <c r="G7" s="216" t="n"/>
      <c r="I7" s="0" t="inlineStr">
        <is>
          <t>Maestro Automatability</t>
        </is>
      </c>
      <c r="J7" s="0" t="inlineStr">
        <is>
          <t>Automated?</t>
        </is>
      </c>
      <c r="K7" s="0" t="inlineStr">
        <is>
          <t>Flow File</t>
        </is>
      </c>
    </row>
    <row r="8" ht="42" customHeight="1" s="629">
      <c r="A8" s="155" t="inlineStr">
        <is>
          <t>Setup 1</t>
        </is>
      </c>
      <c r="B8" s="155" t="inlineStr">
        <is>
          <t>Enable Feature Preview</t>
        </is>
      </c>
      <c r="C8" s="155" t="inlineStr">
        <is>
          <t>1. Log into the domain listed above
2. Access the "Add-ons" tab under the Application's settings
3. Ensure that the Add-on "Conditional ID Mapping in Case List" is enabled</t>
        </is>
      </c>
      <c r="D8" s="564" t="n"/>
      <c r="E8" s="387" t="inlineStr">
        <is>
          <t>Pure HQ app-builder web-UI check (Add-ons tab) - outside this Maestro/mobile-only framework's scope; would need a web-testing tool (e.g. Selenium/Playwright against HQ) to automate, not a mobile-device flow.</t>
        </is>
      </c>
      <c r="F8" s="387" t="n"/>
      <c r="G8" s="216" t="n"/>
      <c r="I8" s="0" t="inlineStr">
        <is>
          <t>Not automatable</t>
        </is>
      </c>
      <c r="J8" s="0" t="inlineStr">
        <is>
          <t>N/A</t>
        </is>
      </c>
    </row>
    <row r="9" ht="64.5" customHeight="1" s="629">
      <c r="A9" s="387" t="inlineStr">
        <is>
          <t>Setup 2</t>
        </is>
      </c>
      <c r="B9" s="387" t="inlineStr">
        <is>
          <t>Verify Feature Preview</t>
        </is>
      </c>
      <c r="C9" s="387" t="inlineStr">
        <is>
          <t>1. Navigate back to HQ and select 'Conditional Enum in Case List' application
2. Access the case list, case detail tab
3. Create a new Display Property (any property can be selected)
4. Verify that under 'Format,' Conditional ID Mapping is an available option
5. Delete this new property</t>
        </is>
      </c>
      <c r="D9" s="564" t="n"/>
      <c r="E9" s="387" t="inlineStr">
        <is>
          <t>Same as Setup 1 - an HQ web-UI check (case detail Format dropdown), not an on-device mobile interaction.</t>
        </is>
      </c>
      <c r="F9" s="387" t="n"/>
      <c r="G9" s="216" t="n"/>
      <c r="I9" s="0" t="inlineStr">
        <is>
          <t>Not automatable</t>
        </is>
      </c>
      <c r="J9" s="0" t="inlineStr">
        <is>
          <t>N/A</t>
        </is>
      </c>
    </row>
    <row r="10" ht="39" customHeight="1" s="629">
      <c r="A10" s="387" t="inlineStr">
        <is>
          <t>Conditional ID Mapping 1</t>
        </is>
      </c>
      <c r="B10" s="387" t="inlineStr">
        <is>
          <t>Create Cases</t>
        </is>
      </c>
      <c r="C10" s="387" t="inlineStr">
        <is>
          <t>1. Using mobile access the Conditional Enum in Case List app
2. Select Start, Case List and enter the Register form
3. Create a case called 'Test One' with an age of 16 and an appointment date as today's date
4. Follow steps one and two to create a second case named 'Test Two' with an age of 21 and an appointment date of yesterday's date</t>
        </is>
      </c>
      <c r="D10" s="564" t="n"/>
      <c r="E10" s="387" t="inlineStr">
        <is>
          <t>flows/conditional_enum_in_case_list/conditional_id_mapping_01_06_full_scenario.yaml (all 6 rows run as one sequential narrative). Partial: 'Test Two's appointment date is set to yesterday via a native spinner DatePicker with no Maestro-native 'set date' action - a best-effort decrement-day swipe is used. Confirmed live 2026-09-07 (build 1238bc320e7cfe912230812759586400c0bfb383): the swipe works, downstream computed-property assertions passed. Still Partial due to a SEPARATE, unrelated issue: this shared qateam-domain case list accumulates thousands of prior runs' Test One/Test Two cases with no cleanup, making case-name lookups increasingly ambiguous over time - a test-hygiene issue, not a Maestro capability gap.</t>
        </is>
      </c>
      <c r="F10" s="387" t="n"/>
      <c r="G10" s="216" t="n"/>
      <c r="I10" s="0" t="inlineStr">
        <is>
          <t>Partial</t>
        </is>
      </c>
      <c r="J10" s="0" t="inlineStr">
        <is>
          <t>Yes</t>
        </is>
      </c>
      <c r="K10" s="0" t="inlineStr">
        <is>
          <t>flows/conditional_enum_in_case_list/conditional_id_mapping_01_06_full_scenario.yaml</t>
        </is>
      </c>
    </row>
    <row r="11" ht="39" customHeight="1" s="629">
      <c r="A11" s="387" t="inlineStr">
        <is>
          <t>Conditional ID Mapping 2</t>
        </is>
      </c>
      <c r="B11" s="387" t="inlineStr">
        <is>
          <t>Update Case 1</t>
        </is>
      </c>
      <c r="C11" s="387" t="inlineStr">
        <is>
          <t>1. From the app's main menu, access the follow up form
2. Select 'Test One' from the case list and verify the following:
a. Case Age appears as 'Child'
b. Appointment Date is 'Today'
c. Case Age Even/Odd is 'Even'</t>
        </is>
      </c>
      <c r="D11" s="564" t="n"/>
      <c r="E11" s="387" t="inlineStr">
        <is>
          <t>Same file as Conditional ID Mapping 1 (single sequential flow).</t>
        </is>
      </c>
      <c r="F11" s="387" t="n"/>
      <c r="G11" s="216" t="n"/>
      <c r="I11" s="0" t="inlineStr">
        <is>
          <t>Automatable</t>
        </is>
      </c>
      <c r="J11" s="0" t="inlineStr">
        <is>
          <t>Yes</t>
        </is>
      </c>
      <c r="K11" s="0" t="inlineStr">
        <is>
          <t>flows/conditional_enum_in_case_list/conditional_id_mapping_01_06_full_scenario.yaml</t>
        </is>
      </c>
    </row>
    <row r="12" ht="55.5" customHeight="1" s="629">
      <c r="A12" s="387" t="inlineStr">
        <is>
          <t>Conditional ID Mapping 3</t>
        </is>
      </c>
      <c r="B12" s="387" t="inlineStr">
        <is>
          <t>Update Case 2</t>
        </is>
      </c>
      <c r="C12" s="387" t="inlineStr">
        <is>
          <t>1. Select 'Continue' when and update 'Test One'
2. Choose 'yes' for 'Did patient show up to their appointment?' and any other details as desired</t>
        </is>
      </c>
      <c r="D12" s="564" t="n"/>
      <c r="E12" s="387" t="inlineStr">
        <is>
          <t>Same file as Conditional ID Mapping 1.</t>
        </is>
      </c>
      <c r="F12" s="387" t="n"/>
      <c r="G12" s="216" t="n"/>
      <c r="I12" s="0" t="inlineStr">
        <is>
          <t>Automatable</t>
        </is>
      </c>
      <c r="J12" s="0" t="inlineStr">
        <is>
          <t>Yes</t>
        </is>
      </c>
      <c r="K12" s="0" t="inlineStr">
        <is>
          <t>flows/conditional_enum_in_case_list/conditional_id_mapping_01_06_full_scenario.yaml</t>
        </is>
      </c>
    </row>
    <row r="13" ht="39" customHeight="1" s="629">
      <c r="A13" s="387" t="inlineStr">
        <is>
          <t>Conditional ID Mapping 4</t>
        </is>
      </c>
      <c r="B13" s="387" t="inlineStr">
        <is>
          <t>Update Case 3</t>
        </is>
      </c>
      <c r="C13" s="387" t="inlineStr">
        <is>
          <t>1. From the app's main menu, access the Followup form
2. Select 'Test Two' from the case list and verify the following: 
a. Case Age appears as 'Adult'
b. Appointment Date appears as 'Not Today'
c. Case Age Even/Odd is 'Odd'</t>
        </is>
      </c>
      <c r="D13" s="564" t="n"/>
      <c r="E13" s="387" t="inlineStr">
        <is>
          <t>Same file as Conditional ID Mapping 1.</t>
        </is>
      </c>
      <c r="F13" s="387" t="n"/>
      <c r="G13" s="216" t="n"/>
      <c r="I13" s="0" t="inlineStr">
        <is>
          <t>Automatable</t>
        </is>
      </c>
      <c r="J13" s="0" t="inlineStr">
        <is>
          <t>Yes</t>
        </is>
      </c>
      <c r="K13" s="0" t="inlineStr">
        <is>
          <t>flows/conditional_enum_in_case_list/conditional_id_mapping_01_06_full_scenario.yaml</t>
        </is>
      </c>
    </row>
    <row r="14" ht="26.25" customHeight="1" s="629">
      <c r="A14" s="387" t="inlineStr">
        <is>
          <t>Conditional ID Mapping 5</t>
        </is>
      </c>
      <c r="B14" s="387" t="inlineStr">
        <is>
          <t>Update Case 4</t>
        </is>
      </c>
      <c r="C14" s="387" t="inlineStr">
        <is>
          <t>1. Select 'Continue' when updating 'Test Two'
2. Choose 'no' for 'Did patient show up to their appointment?' and any other details as desired</t>
        </is>
      </c>
      <c r="D14" s="564" t="n"/>
      <c r="E14" s="387" t="inlineStr">
        <is>
          <t>Same file as Conditional ID Mapping 1.</t>
        </is>
      </c>
      <c r="F14" s="387" t="n"/>
      <c r="G14" s="216" t="n"/>
      <c r="I14" s="0" t="inlineStr">
        <is>
          <t>Automatable</t>
        </is>
      </c>
      <c r="J14" s="0" t="inlineStr">
        <is>
          <t>Yes</t>
        </is>
      </c>
      <c r="K14" s="0" t="inlineStr">
        <is>
          <t>flows/conditional_enum_in_case_list/conditional_id_mapping_01_06_full_scenario.yaml</t>
        </is>
      </c>
    </row>
    <row r="15" ht="90" customHeight="1" s="629">
      <c r="A15" s="387" t="inlineStr">
        <is>
          <t>Conditional ID Mapping 6</t>
        </is>
      </c>
      <c r="B15" s="387" t="inlineStr">
        <is>
          <t>Update Case 5</t>
        </is>
      </c>
      <c r="C15" s="387" t="inlineStr">
        <is>
          <t>1. Return to 'Followup' form
2. Access 'Test One' and verify that the Case Detail 'Appointment Attended?' now appears and is stored as 'Seen by doctor'
3. Back out and return to Followup to select 'Test Two'
4. Verify that the Case Detail 'Appointment Attended?' now appears and is stored as 'Needs followup'</t>
        </is>
      </c>
      <c r="D15" s="564" t="n"/>
      <c r="E15" s="387" t="inlineStr">
        <is>
          <t>Same file as Conditional ID Mapping 1.</t>
        </is>
      </c>
      <c r="F15" s="387" t="n"/>
      <c r="G15" s="216" t="n"/>
      <c r="I15" s="0" t="inlineStr">
        <is>
          <t>Automatable</t>
        </is>
      </c>
      <c r="J15" s="0" t="inlineStr">
        <is>
          <t>Yes</t>
        </is>
      </c>
      <c r="K15" s="0" t="inlineStr">
        <is>
          <t>flows/conditional_enum_in_case_list/conditional_id_mapping_01_06_full_scenario.yaml</t>
        </is>
      </c>
    </row>
  </sheetData>
  <mergeCells count="4">
    <mergeCell ref="B1:C1"/>
    <mergeCell ref="B3:C3"/>
    <mergeCell ref="B4:C4"/>
    <mergeCell ref="B2:C2"/>
  </mergeCells>
  <conditionalFormatting sqref="D8:D15">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5"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J23"/>
  <sheetViews>
    <sheetView workbookViewId="0">
      <selection activeCell="A1" sqref="A1"/>
    </sheetView>
  </sheetViews>
  <sheetFormatPr baseColWidth="8" defaultColWidth="17.29" defaultRowHeight="15" customHeight="1"/>
  <cols>
    <col width="19.14" customWidth="1" style="629" min="1" max="1"/>
    <col width="28.86" customWidth="1" style="629" min="2" max="2"/>
    <col width="65" customWidth="1" style="629" min="3" max="3"/>
    <col width="33.71" customWidth="1" style="629" min="5" max="5"/>
    <col width="17.86" customWidth="1" style="629" min="6" max="6"/>
    <col width="22" customWidth="1" style="629" min="8" max="8"/>
    <col width="22" customWidth="1" style="629" min="9" max="9"/>
    <col width="22" customWidth="1" style="629" min="10" max="10"/>
  </cols>
  <sheetData>
    <row r="1">
      <c r="A1" s="536" t="inlineStr">
        <is>
          <t>Test Area:</t>
        </is>
      </c>
      <c r="B1" s="387" t="inlineStr">
        <is>
          <t>Prompted Updates</t>
        </is>
      </c>
      <c r="C1" s="638" t="n"/>
      <c r="D1" s="216" t="n"/>
      <c r="E1" s="216" t="n"/>
      <c r="F1" s="216" t="n"/>
      <c r="G1" s="382" t="n"/>
    </row>
    <row r="2">
      <c r="A2" s="536" t="inlineStr">
        <is>
          <t>Summary:</t>
        </is>
      </c>
      <c r="B2" s="691" t="inlineStr">
        <is>
          <t>Test prompting the device to perform an update. Docs linked</t>
        </is>
      </c>
      <c r="C2" s="638" t="n"/>
      <c r="D2" s="216" t="n"/>
      <c r="E2" s="216" t="n"/>
      <c r="F2" s="216" t="n"/>
      <c r="G2" s="382" t="n"/>
    </row>
    <row r="3">
      <c r="A3" s="536" t="inlineStr">
        <is>
          <t>Domain:</t>
        </is>
      </c>
      <c r="B3" s="691" t="inlineStr">
        <is>
          <t>https://www.commcarehq.org/a/qateam/apps/view/cdfa6c85eb594b23b0c08729cd2beff1/</t>
        </is>
      </c>
      <c r="C3" s="638" t="n"/>
      <c r="D3" s="216" t="n"/>
      <c r="E3" s="216" t="n"/>
      <c r="F3" s="216" t="n"/>
      <c r="G3" s="382" t="n"/>
    </row>
    <row r="4">
      <c r="A4" s="536" t="inlineStr">
        <is>
          <t xml:space="preserve">Application: </t>
        </is>
      </c>
      <c r="B4" s="691">
        <f>HYPERLINK("https://www.commcarehq.org/a/qateam/apps/view/cdfa6c85eb594b23b0c08729cd2beff1/","Basic Tests")</f>
        <v/>
      </c>
      <c r="C4" s="638" t="n"/>
      <c r="D4" s="216" t="n"/>
      <c r="E4" s="216" t="n"/>
      <c r="F4" s="216" t="n"/>
      <c r="G4" s="382" t="n"/>
    </row>
    <row r="5">
      <c r="A5" s="536" t="inlineStr">
        <is>
          <t>Relevant starting in version?:</t>
        </is>
      </c>
      <c r="B5" s="387" t="inlineStr">
        <is>
          <t>2.38.0</t>
        </is>
      </c>
      <c r="C5" s="638" t="n"/>
      <c r="D5" s="216" t="n"/>
      <c r="E5" s="216" t="n"/>
      <c r="F5" s="216" t="n"/>
      <c r="G5" s="382" t="n"/>
    </row>
    <row r="6">
      <c r="A6" s="359" t="n"/>
      <c r="B6" s="355" t="n"/>
      <c r="C6" s="355" t="n"/>
      <c r="D6" s="355" t="n"/>
      <c r="E6" s="355" t="n"/>
      <c r="F6" s="355" t="n"/>
      <c r="G6" s="382" t="n"/>
    </row>
    <row r="7">
      <c r="A7" s="536" t="inlineStr">
        <is>
          <t>Test Case ID</t>
        </is>
      </c>
      <c r="B7" s="536" t="inlineStr">
        <is>
          <t>Summary</t>
        </is>
      </c>
      <c r="C7" s="536" t="inlineStr">
        <is>
          <t>Steps</t>
        </is>
      </c>
      <c r="D7" s="536" t="inlineStr">
        <is>
          <t>Pass / Fail</t>
        </is>
      </c>
      <c r="E7" s="536" t="inlineStr">
        <is>
          <t>Notes</t>
        </is>
      </c>
      <c r="F7" s="536" t="inlineStr">
        <is>
          <t>Ticket ID</t>
        </is>
      </c>
      <c r="G7" s="382" t="n"/>
      <c r="H7" s="663" t="inlineStr">
        <is>
          <t>Maestro Automatability</t>
        </is>
      </c>
      <c r="I7" s="663" t="inlineStr">
        <is>
          <t>Automated?</t>
        </is>
      </c>
      <c r="J7" s="663" t="inlineStr">
        <is>
          <t>Flow File</t>
        </is>
      </c>
    </row>
    <row r="8">
      <c r="A8" s="387" t="inlineStr">
        <is>
          <t>Setup 1</t>
        </is>
      </c>
      <c r="B8" s="387" t="inlineStr">
        <is>
          <t>Confirm sufficient version</t>
        </is>
      </c>
      <c r="C8" s="184" t="inlineStr">
        <is>
          <t>1. Go to "Advanced Settings" tab
2. Click on a button showing three horizontal bars beside the "Save" and select 'Build Settings'
3. Confirm that the "CommCare Version” setting is set to at least 2.38.0 (this feature is not available earlier than that). This should be set to whatever release we're testing</t>
        </is>
      </c>
      <c r="D8" s="564" t="n"/>
      <c r="E8" s="387" t="inlineStr">
        <is>
          <t>Not automatable: a one-time HQ environment precondition (confirm the app's own Build Settings &gt; CommCare Version is set correctly for the release under test), not a repeatable per-run test assertion - a human/QA-cycle-setup check, not wired into automation since it never needs to run per-dispatch.</t>
        </is>
      </c>
      <c r="F8" s="387" t="n"/>
      <c r="G8" s="382" t="n"/>
      <c r="H8" s="0" t="inlineStr">
        <is>
          <t>Not automatable</t>
        </is>
      </c>
      <c r="I8" s="671" t="inlineStr">
        <is>
          <t>N/A</t>
        </is>
      </c>
    </row>
    <row r="9">
      <c r="A9" s="387" t="inlineStr">
        <is>
          <t>Setup 2</t>
        </is>
      </c>
      <c r="B9" s="387" t="inlineStr">
        <is>
          <t>Login in to the app</t>
        </is>
      </c>
      <c r="C9" s="387" t="inlineStr">
        <is>
          <t xml:space="preserve">1. Make sure you have the latest (QA) version of CommCare installed
2. Make sure the latest build of the Basic Tests app is marked as "In Test"
3. Install the second-most recent build of the Basic Test Application  (the version prior to the most recent version). Make sure this version is "Released"
4. Log in to the app on your device with user test1/123
</t>
        </is>
      </c>
      <c r="D9" s="564" t="n"/>
      <c r="E9" s="387" t="inlineStr">
        <is>
          <t>Partial: hq_setup/prompted_updates/setup_02_mark_in_test.json automates un-releasing the newest build (mark_build_status), keeping the prior build Released; the on-device login half is flows/common/login.yaml, reused at the top of scenario_01/02/03. 'Install prior released build' itself is CCZ provisioning done before BrowserStack invokes any flow, per docs/FRAMEWORK.md's architecture.</t>
        </is>
      </c>
      <c r="F9" s="387" t="n"/>
      <c r="G9" s="382" t="n"/>
      <c r="H9" s="0" t="inlineStr">
        <is>
          <t>Partial</t>
        </is>
      </c>
      <c r="I9" s="670" t="inlineStr">
        <is>
          <t>Yes</t>
        </is>
      </c>
      <c r="J9" s="0" t="inlineStr">
        <is>
          <t>hq_setup/prompted_updates/setup_02_mark_in_test.json</t>
        </is>
      </c>
    </row>
    <row r="10">
      <c r="A10" s="387" t="inlineStr">
        <is>
          <t>Setup 3</t>
        </is>
      </c>
      <c r="B10" s="387" t="inlineStr">
        <is>
          <t>Configure setting</t>
        </is>
      </c>
      <c r="C10" s="387" t="inlineStr">
        <is>
          <t>Go to the “Manage Update Settings” tab and set Prompt Updates to CommCare and Prompt Updates to App as “On”, and then click “Save"</t>
        </is>
      </c>
      <c r="D10" s="564" t="n"/>
      <c r="E10" s="387" t="inlineStr">
        <is>
          <t>Partial: hq_setup/prompted_updates/setup_03_prompts_on.json automates toggling Prompt Updates to CommCare/App to On via HQ's set_prompt_update_settings; no on-device step needed for this row.</t>
        </is>
      </c>
      <c r="F10" s="387" t="n"/>
      <c r="G10" s="382" t="n"/>
      <c r="H10" s="0" t="inlineStr">
        <is>
          <t>Partial</t>
        </is>
      </c>
      <c r="I10" s="670" t="inlineStr">
        <is>
          <t>Yes</t>
        </is>
      </c>
      <c r="J10" s="0" t="inlineStr">
        <is>
          <t>hq_setup/prompted_updates/setup_03_prompts_on.json</t>
        </is>
      </c>
    </row>
    <row r="11">
      <c r="A11" s="387" t="inlineStr">
        <is>
          <t xml:space="preserve">Prompted Update Scenario 1 </t>
        </is>
      </c>
      <c r="B11" s="387" t="inlineStr">
        <is>
          <t>Test with both prompts enabled on HQ, .ccz update is needed</t>
        </is>
      </c>
      <c r="C11" s="387" t="inlineStr">
        <is>
          <t>5. Now change the latest build of the Basic Tests app from "In Test" to "Released"
6. Logout and relogin on on your mobile
6. Confirm that a screen appears that says “New version of the application is available” at the top. (If not, Logout and relogin on on your mobile and it should appear )
7. Confirm you see a button that says “I’ll update later"
8. Click the button that says “Update to the Latest App Version”
9. Confirm that an app update begins automatically, and you are able to apply the update successfully by  pressing “Update to version X &amp; log out"
10. Log back in and confirm that NO prompt screen now appears</t>
        </is>
      </c>
      <c r="D11" s="564" t="n"/>
      <c r="E11" s="387" t="inlineStr">
        <is>
          <t>Confirmed passing via real BrowserStack dispatch (2026-08-21/22): the Appium orchestrator resolved the genuine gap that made this Partial - a single Maestro build can't run an HQ action mid-build, between this row's own logout and re-login. UPDATE (2026-08-22): the plain-Maestro version of this scenario (which could only ever partially work) was deleted - the Appium path is now the sole, canonical coverage, not a supplement.</t>
        </is>
      </c>
      <c r="F11" s="387" t="n"/>
      <c r="G11" s="382" t="n"/>
      <c r="H11" s="0" t="inlineStr">
        <is>
          <t>Automatable</t>
        </is>
      </c>
      <c r="I11" s="670" t="inlineStr">
        <is>
          <t>Yes</t>
        </is>
      </c>
      <c r="J11" s="0" t="inlineStr">
        <is>
          <t>scripts/run_appium_prompted_updates_suite.py --scenario scenario_01_optional_ccz_update (scripts/appium_scenarios.py's run_prompted_update_scenario_01_optional_ccz_update) - the step 5 HQ 'mark latest build Released' action fires programmatically between the flow's own logout and re-login, on the same live session.</t>
        </is>
      </c>
    </row>
    <row r="12">
      <c r="A12" s="387" t="inlineStr">
        <is>
          <t xml:space="preserve">Prompted Update Scenario 2 </t>
        </is>
      </c>
      <c r="B12" s="387" t="inlineStr">
        <is>
          <t>Test a forced .ccz update</t>
        </is>
      </c>
      <c r="C12" s="387" t="inlineStr">
        <is>
          <t>1. Now again, mark the latest build verison "In Test"
2. Uninstall the Basic Tests app from your device, and reinstall the second most recent version of the application
2. Go back to the “Manage Updates” tab and change the dropdown selection for "Prompt Updates to Latest Released App Version” to “Forced”, and then click save
3. Log in to the app on your device with user test1/123
4. Mark the latest version as released
4. Logout of ypur device and relogin
5. Confirm that a screen appears that says “New version of the application is required” (If not, Logout and relogin on on your mobile and it should appear)
6. Confirm that pressing ‘back’ from this screen doesn't do anything (meaning you stay on the screen)
7. Click the button that says “Update to the Latest App Version”
8. Confirm that an app update begins automatically, and you are able to apply the update successfully by  pressing “Update to version X &amp; log out"
9. Log back in and confirm that NO prompt screen now appears</t>
        </is>
      </c>
      <c r="D12" s="564" t="n"/>
      <c r="E12" s="387" t="inlineStr">
        <is>
          <t>Confirmed passing via real BrowserStack dispatch (2026-08-22, after widening the forced-blocker relogin retry from 180s to 360s based on real observed HQ propagation delay) - same fix as Scenario 1 (see E11). Plain-Maestro version deleted for the same reason as Scenario 1.</t>
        </is>
      </c>
      <c r="F12" s="387" t="n"/>
      <c r="G12" s="382" t="n"/>
      <c r="H12" s="0" t="inlineStr">
        <is>
          <t>Automatable</t>
        </is>
      </c>
      <c r="I12" s="670" t="inlineStr">
        <is>
          <t>Yes</t>
        </is>
      </c>
      <c r="J12" s="0" t="inlineStr">
        <is>
          <t>scripts/run_appium_prompted_updates_suite.py --scenario scenario_02_forced_ccz_update (scripts/appium_scenarios.py's run_prompted_update_scenario_02_forced_ccz_update) - same mid-session HQ action mechanism as Scenario 1.</t>
        </is>
      </c>
    </row>
    <row r="13">
      <c r="A13" s="387" t="inlineStr">
        <is>
          <t>Prompted Update Scenario 3</t>
        </is>
      </c>
      <c r="B13" s="387" t="inlineStr">
        <is>
          <t>Test that no update is prompted when there is a newer un-starred build</t>
        </is>
      </c>
      <c r="C13" s="387" t="inlineStr">
        <is>
          <t>1. Log out, but keep the current version of the Basic Tests app that you have on your device installed
2. Make a new build of the Basic Tests app on HQ, but DO NOT mark it as released
3. Log in to the app on your device with user test1/1234
4. Press ‘Start’ and then go back
5. Confirm that NO prompt screen appears</t>
        </is>
      </c>
      <c r="D13" s="564" t="n"/>
      <c r="E13" s="387" t="inlineStr">
        <is>
          <t>Partial: the on-device navigation/assertion is fully automated (flows/prompted_updates/scenario_03_unstarred_build_no_prompt.yaml), but it needs an HQ pre-step (hq_setup/prompted_updates/scenario_03_unreleased_build.json creates a new build WITHOUT releasing it) run between this flow's own logout and relogin steps - not a single self-contained flow.</t>
        </is>
      </c>
      <c r="F13" s="387" t="n"/>
      <c r="G13" s="382" t="n"/>
      <c r="H13" s="0" t="inlineStr">
        <is>
          <t>Partial</t>
        </is>
      </c>
      <c r="I13" s="670" t="inlineStr">
        <is>
          <t>Yes</t>
        </is>
      </c>
      <c r="J13" s="0" t="inlineStr">
        <is>
          <t>hq_setup/prompted_updates/scenario_03_unreleased_build.json; flows/prompted_updates/scenario_03_unstarred_build_no_prompt.yaml</t>
        </is>
      </c>
    </row>
    <row r="14">
      <c r="A14" s="387" t="inlineStr">
        <is>
          <t>Prompted Update Scenario 4 (NOTE: The earliest version for which this test can be performed is CommCare 2.40. Skip it for earlier versions)</t>
        </is>
      </c>
      <c r="B14" s="387" t="inlineStr">
        <is>
          <t xml:space="preserve">
Test prompting an .apk update (for an older CC version, since it’s not possible to test for the current one)</t>
        </is>
      </c>
      <c r="C14" s="387" t="inlineStr">
        <is>
          <t>1. Install the version of CommCare that is TWO versions earlier than the current QA version. So for example, if you are currently doing QA for 2.48, then install CommCare 2.46.x (the minor version doesn't matter, pick any). The easiest place to download the old .apk is from here: https://github.com/dimagi/commcare-android/releases
2. Go to the “Manage Update Options” tab and set both drop-downs back to “On”, and then click “Save"
3. Install the version of the Case Management application immediately prior to the latest "Released" version.
4. Log in to the app on your device with user test1/123
5. Press ‘Start’ and then go back
6. Confirm that  a screen appears that says "New version of CommCare is Available”
7. Confirm you see a button that says “I'll update later”
8. Click the button that says "Update CommCare via the Play Store”
9. Confirm that you are brought to the PlayStore page for CommCare
10. Click ‘Update’ and wait for the new version of CommCare to install
11. Re-open CommCare and log in
12. Confirm that a screen appears that says “New version of the application is available”
Ensure that this released version is compatible with the version of CommCare installed from the playstore
(This is almost certainly one version behind the version in test. You will need to ensure that the build we're updating to has a corresponding version on its advanced settings)
13. Click the button that says “Update to the Latest App Version”
14. Confirm that an app update begins automatically, and you are able to apply the update successfully by  pressing “Update to version X &amp; log out"</t>
        </is>
      </c>
      <c r="D14" s="564" t="n"/>
      <c r="E14" s="387" t="inlineStr">
        <is>
          <t>Not automatable: requires manually downloading an old CommCare APK from GitHub releases, then completing a real Google Play Store update flow on-device ('brought to the PlayStore page for CommCare', tap Update, wait for Play to install it) - this program has no real Play Store access, the same confirmed hard limit as the Updates tab's In-App Update rows.</t>
        </is>
      </c>
      <c r="F14" s="387" t="n"/>
      <c r="G14" s="382" t="n"/>
      <c r="H14" s="0" t="inlineStr">
        <is>
          <t>Not automatable</t>
        </is>
      </c>
      <c r="I14" s="671" t="inlineStr">
        <is>
          <t>N/A</t>
        </is>
      </c>
    </row>
    <row r="15">
      <c r="A15" s="386" t="n"/>
      <c r="B15" s="386" t="n"/>
      <c r="C15" s="386" t="n"/>
      <c r="D15" s="510" t="n"/>
      <c r="E15" s="386" t="n"/>
      <c r="F15" s="386" t="n"/>
      <c r="G15" s="382" t="n"/>
    </row>
    <row r="16">
      <c r="A16" s="382" t="inlineStr">
        <is>
          <t>Varying Prompt Updates</t>
        </is>
      </c>
      <c r="B16" s="382" t="n"/>
      <c r="C16" s="383" t="n"/>
      <c r="D16" s="383" t="n"/>
      <c r="E16" s="383" t="n"/>
      <c r="F16" s="383" t="n"/>
      <c r="G16" s="382" t="n"/>
    </row>
    <row r="17">
      <c r="A17" s="536" t="inlineStr">
        <is>
          <t>Test Case ID</t>
        </is>
      </c>
      <c r="B17" s="536" t="inlineStr">
        <is>
          <t>Summary</t>
        </is>
      </c>
      <c r="C17" s="536" t="inlineStr">
        <is>
          <t>Steps</t>
        </is>
      </c>
      <c r="D17" s="536" t="inlineStr">
        <is>
          <t>Pass / Fail</t>
        </is>
      </c>
      <c r="E17" s="536" t="inlineStr">
        <is>
          <t>Notes</t>
        </is>
      </c>
      <c r="F17" s="536" t="n"/>
      <c r="G17" s="382" t="n"/>
      <c r="H17" s="663" t="inlineStr">
        <is>
          <t>Maestro Automatability</t>
        </is>
      </c>
      <c r="I17" s="663" t="inlineStr">
        <is>
          <t>Automated?</t>
        </is>
      </c>
      <c r="J17" s="663" t="inlineStr">
        <is>
          <t>Flow File</t>
        </is>
      </c>
    </row>
    <row r="18">
      <c r="A18" s="386" t="inlineStr">
        <is>
          <t>Setup 1</t>
        </is>
      </c>
      <c r="B18" s="387" t="inlineStr">
        <is>
          <t>New Version + Key + Update Setup</t>
        </is>
      </c>
      <c r="C18" s="389" t="inlineStr">
        <is>
          <t>1. Go to the Case Management app &gt; "Advanced Settings" tab 
2. Click on a button showing three horizontal bars beside the "Save" and select 'Build Settings' 
3.Confirm that the "CommCare Version” setting is set to the current version being tested (this feature is not available earlier than version 2.43.0)
4. In the custom properties section of the Advanced Settings, set the following keys and values and save both changes:
num-views-before-reducing-frequency = 3
reduced-show-frequency = 4
regular-show-frequency = 1
5. Go to the release page &gt;“Manage Update Settings” tab and Ensure  both drop-downs are set to “On” and "Latest Release Build", and then click “Save"
6. Make a new version with release notes '3.4,1' and mark it as released</t>
        </is>
      </c>
      <c r="D18" s="390" t="n"/>
      <c r="E18" s="387" t="inlineStr">
        <is>
          <t xml:space="preserve">Resets test so that when we deploy the second most version (which has regular-show-frequency value set to 2).
</t>
        </is>
      </c>
      <c r="F18" s="387" t="n"/>
      <c r="G18" s="382" t="n"/>
      <c r="H18" s="0" t="inlineStr">
        <is>
          <t>Partial</t>
        </is>
      </c>
      <c r="I18" s="670" t="inlineStr">
        <is>
          <t>Yes</t>
        </is>
      </c>
      <c r="J18" s="0" t="inlineStr">
        <is>
          <t>hq_setup/prompted_updates/varying_prompt_setup.json (covers both Setup 1 and Setup 2 in one call)</t>
        </is>
      </c>
    </row>
    <row r="19">
      <c r="A19" s="387" t="inlineStr">
        <is>
          <t>Setup 2</t>
        </is>
      </c>
      <c r="B19" s="387" t="inlineStr">
        <is>
          <t xml:space="preserve">Keys Setup </t>
        </is>
      </c>
      <c r="C19" s="389" t="inlineStr">
        <is>
          <t>1. Again proceed to the advanced settings tab on HQ.
2. Proceed to the Custom Properties setting area of the advanced settings tab
3. Set the following keys:
num-views-before-reducing-frequency = 3
reduced-show-frequency = 4
regular-show-frequency = 2
4. Save
5. Make a new version with release notes '3.4,2' and mark it as released</t>
        </is>
      </c>
      <c r="D19" s="390" t="n"/>
      <c r="E19" s="387" t="inlineStr">
        <is>
          <t>This is so we have a new build to update to for next few tests. This also sets up setup1 of this section for the next time we run through this test</t>
        </is>
      </c>
      <c r="F19" s="387" t="n"/>
      <c r="G19" s="382" t="n"/>
      <c r="H19" s="0" t="inlineStr">
        <is>
          <t>Partial</t>
        </is>
      </c>
      <c r="I19" s="670" t="inlineStr">
        <is>
          <t>Yes</t>
        </is>
      </c>
      <c r="J19" s="0" t="inlineStr">
        <is>
          <t>hq_setup/prompted_updates/varying_prompt_setup.json (covers both Setup 1 and Setup 2 in one call)</t>
        </is>
      </c>
    </row>
    <row r="20">
      <c r="A20" s="387" t="inlineStr">
        <is>
          <t>Varying Prompt 1</t>
        </is>
      </c>
      <c r="B20" s="387" t="inlineStr">
        <is>
          <t xml:space="preserve">Test Frequency </t>
        </is>
      </c>
      <c r="C20" s="387" t="inlineStr">
        <is>
          <t>1. Install the application with release notes '3.4,1'
4. Log in to the app on your device with user test1/1234
5. Check if the prompt with "New Version of the application is available" screen appears (it might or might not appear)
6. If it appears, then jump to step next step. If not, logout and login again and confirm you are prompted with screen now.
7. Click the button that says “Update to the Latest App Version”
8. Confirm that an app update begins automatically, and you are able to apply the update successfully by  pressing “Update to version X &amp; log out"
9. Log back in and confirm that NO prompt screen now appears</t>
        </is>
      </c>
      <c r="D20" s="390" t="n"/>
      <c r="E20" s="394" t="n"/>
      <c r="F20" s="394" t="n"/>
      <c r="G20" s="382" t="n"/>
      <c r="H20" s="0" t="inlineStr">
        <is>
          <t>Automatable</t>
        </is>
      </c>
      <c r="I20" s="672" t="inlineStr">
        <is>
          <t>Yes</t>
        </is>
      </c>
      <c r="J20" s="0" t="inlineStr">
        <is>
          <t>flows/prompted_updates/varying_prompt_01_update_frequency.yaml</t>
        </is>
      </c>
    </row>
    <row r="21">
      <c r="A21" s="387" t="inlineStr">
        <is>
          <t>Varying Prompt 3</t>
        </is>
      </c>
      <c r="B21" s="387" t="inlineStr">
        <is>
          <t>Test Number of Views before Reducing Frequency</t>
        </is>
      </c>
      <c r="C21" s="387" t="inlineStr">
        <is>
          <t>1. Return to your mobile device. 
2. Log in to the Case Management app on your device with user test2/123 (another user) and Logout
3. Log back in and Confirm that a screen appears that says “New version of the application is available” at the top
4. Click the button that says “I'll update later”
5. Confirm you are returned to the Home Screen and Logout
6. Log back into the application as test2/123
7. Confirm that a screen appears that says “New version of the application is available” at the top.
8. Click the button that says “I'll update later” 
9. Confirm you are returned to the Home Screen and Logout
10. Log back into the application as test2/123
11. Confirm that a screen appears that says “New version of the application is available” at the top. 
12. Click the button that says “I'll update later”
13.Confirm you are returned to the Home Screen and Logout
14. Log back into the application as test2/1234
15. Confirm you are not prompted with the "New version of the application is not available" screen
16. Proceed to next test case</t>
        </is>
      </c>
      <c r="D21" s="390" t="n"/>
      <c r="E21" s="533" t="inlineStr">
        <is>
          <t>Need to see the "New Version is available..." screen 3 times to reduce the frequency that it will be shown
(On the first login, if before home screen opens, and the device gets to know about the update info (which again 90% of the times won't happen) then you'll see the update prompt in the first login itself.
And if that happens, you'll see the Update screen for the next two logins (step 13-15 to be skipped)- considering this as the first one)</t>
        </is>
      </c>
      <c r="F21" s="533" t="n"/>
      <c r="G21" s="382" t="n"/>
      <c r="H21" s="0" t="inlineStr">
        <is>
          <t>Automatable</t>
        </is>
      </c>
      <c r="I21" s="672" t="inlineStr">
        <is>
          <t>Yes</t>
        </is>
      </c>
      <c r="J21" s="0" t="inlineStr">
        <is>
          <t>flows/prompted_updates/varying_prompt_03_views_before_reducing_frequency.yaml</t>
        </is>
      </c>
    </row>
    <row r="22">
      <c r="A22" s="387" t="inlineStr">
        <is>
          <t>Varying Prompt 4</t>
        </is>
      </c>
      <c r="B22" s="387" t="inlineStr">
        <is>
          <t>Reduced Show Frequency</t>
        </is>
      </c>
      <c r="C22" s="387" t="inlineStr">
        <is>
          <t>1. Logout of the application
2. Login to the application as test2/123
3. Confirm you are not prompted with the "New version of the application is not available" screen
4. Logout of the application
5. Login to the application as test2/123
6. Confirm you are not prompted with the "New version of the application is not available" screen
7. Logout of the application
8. Login to the application as test2/123
9. Confirm you are prompted with the  "New version of the application is not available" screen
10.  Proceed to next test case</t>
        </is>
      </c>
      <c r="D22" s="390" t="n"/>
      <c r="E22" s="387" t="inlineStr">
        <is>
          <t>Need to login 4 times before the user will be prompted again. Login attempt 1 occurs in steps 16 through 18 of previous test case
(This would again appear on every 4th attempt(i.e., 11th, 15th..))</t>
        </is>
      </c>
      <c r="F22" s="387" t="n"/>
      <c r="G22" s="382" t="n"/>
      <c r="H22" s="0" t="inlineStr">
        <is>
          <t>Automatable</t>
        </is>
      </c>
      <c r="I22" s="672" t="inlineStr">
        <is>
          <t>Yes</t>
        </is>
      </c>
      <c r="J22" s="0" t="inlineStr">
        <is>
          <t>flows/prompted_updates/varying_prompt_04_reduced_show_frequency.yaml</t>
        </is>
      </c>
    </row>
    <row r="23">
      <c r="A23" s="387" t="inlineStr">
        <is>
          <t>Varying Prompt 5</t>
        </is>
      </c>
      <c r="B23" s="387" t="inlineStr">
        <is>
          <t>Test a forced .ccz update</t>
        </is>
      </c>
      <c r="C23" s="387" t="inlineStr">
        <is>
          <t>11. Click the button that says “Update to the Latest App Version”
12. Confirm that an app update begins automatically, and you are able to apply the update successfully by  pressing “Update to version X &amp; log out"
13. Log back in and confirm that NO prompt screen now appears</t>
        </is>
      </c>
      <c r="D23" s="390" t="n"/>
      <c r="E23" s="539" t="n"/>
      <c r="F23" s="539" t="n"/>
      <c r="G23" s="382" t="n"/>
      <c r="H23" s="0" t="inlineStr">
        <is>
          <t>Automatable</t>
        </is>
      </c>
      <c r="I23" s="672" t="inlineStr">
        <is>
          <t>Yes</t>
        </is>
      </c>
      <c r="J23" s="0" t="inlineStr">
        <is>
          <t>flows/prompted_updates/varying_prompt_05_forced_update_completion.yaml</t>
        </is>
      </c>
    </row>
  </sheetData>
  <mergeCells count="5">
    <mergeCell ref="B2:C2"/>
    <mergeCell ref="B3:C3"/>
    <mergeCell ref="B5:C5"/>
    <mergeCell ref="B1:C1"/>
    <mergeCell ref="B4:C4"/>
  </mergeCells>
  <conditionalFormatting sqref="D8:D14 D18:D23">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4 D18:D23" showDropDown="0" showInputMessage="0" showErrorMessage="1" allowBlank="1" type="list">
      <formula1>"Pass,Fail,N/A,Blocking"</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C8" r:id="rId3"/>
  </hyperlink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0" summaryRight="0"/>
    <pageSetUpPr/>
  </sheetPr>
  <dimension ref="A1:K12"/>
  <sheetViews>
    <sheetView workbookViewId="0">
      <selection activeCell="A1" sqref="A1"/>
    </sheetView>
  </sheetViews>
  <sheetFormatPr baseColWidth="8" defaultColWidth="17.29" defaultRowHeight="15" customHeight="1"/>
  <cols>
    <col width="23.71" customWidth="1" style="629" min="1" max="1"/>
    <col width="36" customWidth="1" style="629" min="2" max="2"/>
    <col width="88.86" customWidth="1" style="629" min="3" max="3"/>
  </cols>
  <sheetData>
    <row r="1">
      <c r="A1" s="536" t="inlineStr">
        <is>
          <t>Test Area:</t>
        </is>
      </c>
      <c r="B1" s="387" t="inlineStr">
        <is>
          <t>Menu Badges</t>
        </is>
      </c>
      <c r="C1" s="638" t="n"/>
      <c r="D1" s="216" t="n"/>
      <c r="E1" s="216" t="n"/>
      <c r="F1" s="216" t="n"/>
      <c r="G1" s="166" t="n"/>
    </row>
    <row r="2">
      <c r="A2" s="536" t="inlineStr">
        <is>
          <t>Summary:</t>
        </is>
      </c>
      <c r="B2" s="387" t="inlineStr">
        <is>
          <t>Test the appearance of Menu badges on a menu screen</t>
        </is>
      </c>
      <c r="C2" s="638" t="n"/>
      <c r="D2" s="216" t="n"/>
      <c r="E2" s="216" t="n"/>
      <c r="F2" s="216" t="n"/>
      <c r="G2" s="166" t="n"/>
    </row>
    <row r="3">
      <c r="A3" s="536" t="inlineStr">
        <is>
          <t>Domain:</t>
        </is>
      </c>
      <c r="B3" s="690">
        <f>HYPERLINK("https://www.commcarehq.org/a/qateam/apps/view/4a1189cb56c44277906e9fc058838ebc/","Performance ")</f>
        <v/>
      </c>
      <c r="C3" s="638" t="n"/>
      <c r="D3" s="216" t="n"/>
      <c r="E3" s="216" t="n"/>
      <c r="F3" s="216" t="n"/>
      <c r="G3" s="166" t="n"/>
    </row>
    <row r="4">
      <c r="A4" s="536" t="inlineStr">
        <is>
          <t xml:space="preserve">Application: </t>
        </is>
      </c>
      <c r="B4" s="387" t="inlineStr">
        <is>
          <t>See Installation Step</t>
        </is>
      </c>
      <c r="C4" s="638" t="n"/>
      <c r="D4" s="216" t="n"/>
      <c r="E4" s="216" t="n"/>
      <c r="F4" s="216" t="n"/>
      <c r="G4" s="166" t="n"/>
    </row>
    <row r="5">
      <c r="A5" s="354" t="inlineStr">
        <is>
          <t>Note: This tab is only applicable to CommCare versions 2.39 and above. The feature will not work on earlier versions. This feature is also no longer an Add-on. Menu Badges can be enabled through the flag: Custom Icon Badges for modules and forms</t>
        </is>
      </c>
      <c r="B5" s="636" t="n"/>
      <c r="C5" s="636" t="n"/>
      <c r="D5" s="355" t="n"/>
      <c r="E5" s="355" t="n"/>
      <c r="F5" s="355" t="n"/>
      <c r="G5" s="166" t="n"/>
    </row>
    <row r="6">
      <c r="A6" s="356" t="n"/>
      <c r="B6" s="355" t="n"/>
      <c r="C6" s="355" t="n"/>
      <c r="D6" s="355" t="n"/>
      <c r="E6" s="355" t="n"/>
      <c r="F6" s="355" t="n"/>
      <c r="G6" s="166" t="n"/>
    </row>
    <row r="7">
      <c r="A7" s="536" t="inlineStr">
        <is>
          <t>Test Case ID</t>
        </is>
      </c>
      <c r="B7" s="536" t="inlineStr">
        <is>
          <t>Summary</t>
        </is>
      </c>
      <c r="C7" s="536" t="inlineStr">
        <is>
          <t>Steps</t>
        </is>
      </c>
      <c r="D7" s="536" t="inlineStr">
        <is>
          <t>Pass / Fail</t>
        </is>
      </c>
      <c r="E7" s="536" t="inlineStr">
        <is>
          <t>Notes</t>
        </is>
      </c>
      <c r="F7" s="536" t="inlineStr">
        <is>
          <t>Ticket ID</t>
        </is>
      </c>
      <c r="G7" s="166" t="n"/>
      <c r="I7" s="0" t="inlineStr">
        <is>
          <t>Maestro Automatability</t>
        </is>
      </c>
      <c r="J7" s="0" t="inlineStr">
        <is>
          <t>Automated?</t>
        </is>
      </c>
      <c r="K7" s="0" t="inlineStr">
        <is>
          <t>Flow File</t>
        </is>
      </c>
    </row>
    <row r="8">
      <c r="A8" s="387" t="inlineStr">
        <is>
          <t>Menu Badges 1</t>
        </is>
      </c>
      <c r="B8" s="387" t="inlineStr">
        <is>
          <t>Install</t>
        </is>
      </c>
      <c r="C8" s="387" t="inlineStr">
        <is>
          <t>1. Navigate to Performance Testing in the QAteam domain (linked above)
2. Publish the latest version to your device</t>
        </is>
      </c>
      <c r="D8" s="564" t="n"/>
      <c r="E8" s="387" t="n"/>
      <c r="F8" s="387" t="n"/>
      <c r="G8" s="166" t="n"/>
      <c r="I8" s="0" t="inlineStr">
        <is>
          <t>Automatable</t>
        </is>
      </c>
      <c r="J8" s="0" t="inlineStr">
        <is>
          <t>Yes</t>
        </is>
      </c>
      <c r="K8" s="0" t="inlineStr">
        <is>
          <t>(handled by ../common/install_app_as_web_user.yaml, APP_NAME: Performance Testing)</t>
        </is>
      </c>
    </row>
    <row r="9">
      <c r="A9" s="387" t="inlineStr">
        <is>
          <t>Menu Badges 2</t>
        </is>
      </c>
      <c r="B9" s="387" t="inlineStr">
        <is>
          <t>Login</t>
        </is>
      </c>
      <c r="C9" s="389" t="inlineStr">
        <is>
          <t>1. Log in with username "case_load," password "123"</t>
        </is>
      </c>
      <c r="D9" s="564" t="n"/>
      <c r="E9" s="387" t="inlineStr">
        <is>
          <t>flows/menu_badges/menu_badges_03_04_badge_loads.yaml covers this too.</t>
        </is>
      </c>
      <c r="F9" s="387" t="n"/>
      <c r="G9" s="166" t="n"/>
      <c r="I9" s="0" t="inlineStr">
        <is>
          <t>Automatable</t>
        </is>
      </c>
      <c r="J9" s="0" t="inlineStr">
        <is>
          <t>Yes</t>
        </is>
      </c>
      <c r="K9" s="0" t="inlineStr">
        <is>
          <t>flows/menu_badges/menu_badges_03_04_badge_loads.yaml</t>
        </is>
      </c>
    </row>
    <row r="10">
      <c r="A10" s="387" t="inlineStr">
        <is>
          <t>Menu Badges 3</t>
        </is>
      </c>
      <c r="B10" s="387" t="inlineStr">
        <is>
          <t>Confirm page with module badges loads immediately</t>
        </is>
      </c>
      <c r="C10" s="542" t="inlineStr">
        <is>
          <t>1. Select Start
2. You should see four menus, including "Child Management, (Update)"</t>
        </is>
      </c>
      <c r="D10" s="564" t="n"/>
      <c r="E10" s="387" t="inlineStr">
        <is>
          <t>flows/menu_badges/menu_badges_03_04_badge_loads.yaml - Partial because it needs an HQ web-user login (install_app_as_web_user.yaml).</t>
        </is>
      </c>
      <c r="F10" s="387" t="n"/>
      <c r="G10" s="166" t="n"/>
      <c r="I10" s="0" t="inlineStr">
        <is>
          <t>Partial</t>
        </is>
      </c>
      <c r="J10" s="0" t="inlineStr">
        <is>
          <t>Yes</t>
        </is>
      </c>
      <c r="K10" s="0" t="inlineStr">
        <is>
          <t>flows/menu_badges/menu_badges_03_04_badge_loads.yaml</t>
        </is>
      </c>
    </row>
    <row r="11">
      <c r="A11" s="387" t="inlineStr">
        <is>
          <t>Menu Badges 4</t>
        </is>
      </c>
      <c r="B11" s="387" t="inlineStr">
        <is>
          <t>Menu Badge Load</t>
        </is>
      </c>
      <c r="C11" s="387" t="inlineStr">
        <is>
          <t>1. Remain on screen
2. Wait up to two minutes, while STAYING on the same screen (the amount of time necessary will vary by device)
3. Confirm that the Child Management (Update) menu displays a red badge with the number 553</t>
        </is>
      </c>
      <c r="D11" s="564" t="n"/>
      <c r="E11" s="387" t="inlineStr">
        <is>
          <t>Same file/reason as Menu Badges 3.</t>
        </is>
      </c>
      <c r="F11" s="387" t="n"/>
      <c r="G11" s="166" t="n"/>
      <c r="I11" s="0" t="inlineStr">
        <is>
          <t>Partial</t>
        </is>
      </c>
      <c r="J11" s="0" t="inlineStr">
        <is>
          <t>Yes</t>
        </is>
      </c>
      <c r="K11" s="0" t="inlineStr">
        <is>
          <t>flows/menu_badges/menu_badges_03_04_badge_loads.yaml</t>
        </is>
      </c>
    </row>
    <row r="12">
      <c r="A12" s="387" t="inlineStr">
        <is>
          <t>Menu Badges 5</t>
        </is>
      </c>
      <c r="B12" s="387" t="inlineStr">
        <is>
          <t>Check badge appearance</t>
        </is>
      </c>
      <c r="C12" s="287" t="inlineStr">
        <is>
          <t>1. Verify the following:
a) The number in the badge is legible 
b) The number in the badge is not cut off
c) The menu badge does not appear fuzzy or out of focus</t>
        </is>
      </c>
      <c r="D12" s="564" t="n"/>
      <c r="E12" s="387" t="inlineStr">
        <is>
          <t>Pure visual-rendering judgment (legibility/cropping/focus) - no OCR-based sharpness check exists in this framework; genuinely not automatable via Maestro.</t>
        </is>
      </c>
      <c r="F12" s="387" t="n"/>
      <c r="G12" s="166" t="n"/>
      <c r="I12" s="0" t="inlineStr">
        <is>
          <t>Not automatable</t>
        </is>
      </c>
      <c r="J12" s="0" t="inlineStr">
        <is>
          <t>N/A</t>
        </is>
      </c>
    </row>
  </sheetData>
  <mergeCells count="5">
    <mergeCell ref="B2:C2"/>
    <mergeCell ref="A5:C5"/>
    <mergeCell ref="B3:C3"/>
    <mergeCell ref="B1:C1"/>
    <mergeCell ref="B4:C4"/>
  </mergeCells>
  <conditionalFormatting sqref="D8:D12">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2" showDropDown="0" showInputMessage="0" showErrorMessage="1" allowBlank="1" type="list">
      <formula1>"Pass,Fail,N/A,Blocking"</formula1>
    </dataValidation>
  </dataValidation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K12"/>
  <sheetViews>
    <sheetView workbookViewId="0">
      <selection activeCell="A1" sqref="A1"/>
    </sheetView>
  </sheetViews>
  <sheetFormatPr baseColWidth="8" defaultColWidth="17.29" defaultRowHeight="15" customHeight="1"/>
  <cols>
    <col width="73.14" customWidth="1" style="629" min="3" max="3"/>
  </cols>
  <sheetData>
    <row r="1">
      <c r="A1" s="536" t="inlineStr">
        <is>
          <t>Test Area:</t>
        </is>
      </c>
      <c r="B1" s="451" t="inlineStr">
        <is>
          <t>Date Widgets</t>
        </is>
      </c>
      <c r="C1" s="638" t="n"/>
      <c r="D1" s="221" t="n"/>
      <c r="E1" s="221" t="n"/>
      <c r="F1" s="221" t="n"/>
      <c r="G1" s="166" t="n"/>
    </row>
    <row r="2">
      <c r="A2" s="363" t="inlineStr">
        <is>
          <t>Summary:</t>
        </is>
      </c>
      <c r="B2" s="468" t="inlineStr">
        <is>
          <t>Tests the Nepali and Ethiopian date widgets</t>
        </is>
      </c>
      <c r="C2" s="637" t="n"/>
      <c r="D2" s="221" t="n"/>
      <c r="E2" s="361" t="n"/>
      <c r="F2" s="361" t="n"/>
      <c r="G2" s="166" t="n"/>
    </row>
    <row r="3">
      <c r="A3" s="363" t="inlineStr">
        <is>
          <t>Domain:</t>
        </is>
      </c>
      <c r="B3" s="692" t="inlineStr">
        <is>
          <t>https://www.commcarehq.org/a/qateam/apps/view/02a769c498fa428f89978b61e2846317/</t>
        </is>
      </c>
      <c r="C3" s="637" t="n"/>
      <c r="D3" s="221" t="n"/>
      <c r="E3" s="221" t="n"/>
      <c r="F3" s="221" t="n"/>
      <c r="G3" s="166" t="n"/>
    </row>
    <row r="4">
      <c r="A4" s="363" t="inlineStr">
        <is>
          <t xml:space="preserve">Application: </t>
        </is>
      </c>
      <c r="B4" s="468" t="inlineStr">
        <is>
          <t>Date Widgets</t>
        </is>
      </c>
      <c r="C4" s="637" t="n"/>
      <c r="D4" s="221" t="n"/>
      <c r="E4" s="221" t="n"/>
      <c r="F4" s="221" t="n"/>
      <c r="G4" s="166" t="n"/>
    </row>
    <row r="5">
      <c r="A5" s="363" t="inlineStr">
        <is>
          <t>Prerequisites:</t>
        </is>
      </c>
      <c r="B5" s="364" t="n"/>
      <c r="C5" s="221" t="n"/>
      <c r="D5" s="221" t="n"/>
      <c r="E5" s="221" t="n"/>
      <c r="F5" s="221" t="n"/>
      <c r="G5" s="166" t="n"/>
    </row>
    <row r="6">
      <c r="A6" s="365" t="n"/>
      <c r="B6" s="365" t="n"/>
      <c r="C6" s="365" t="n"/>
      <c r="D6" s="365" t="n"/>
      <c r="E6" s="365" t="n"/>
      <c r="F6" s="365" t="n"/>
      <c r="G6" s="166" t="n"/>
    </row>
    <row r="7">
      <c r="A7" s="363" t="inlineStr">
        <is>
          <t>Test Case ID</t>
        </is>
      </c>
      <c r="B7" s="283" t="inlineStr">
        <is>
          <t>Summary</t>
        </is>
      </c>
      <c r="C7" s="283" t="inlineStr">
        <is>
          <t>Steps</t>
        </is>
      </c>
      <c r="D7" s="282" t="inlineStr">
        <is>
          <t>Pass/Fail</t>
        </is>
      </c>
      <c r="E7" s="283" t="inlineStr">
        <is>
          <t>Notes</t>
        </is>
      </c>
      <c r="F7" s="536" t="inlineStr">
        <is>
          <t>Ticket ID</t>
        </is>
      </c>
      <c r="G7" s="166" t="n"/>
      <c r="I7" s="0" t="inlineStr">
        <is>
          <t>Maestro Automatability</t>
        </is>
      </c>
      <c r="J7" s="0" t="inlineStr">
        <is>
          <t>Automated?</t>
        </is>
      </c>
      <c r="K7" s="0" t="inlineStr">
        <is>
          <t>Flow File</t>
        </is>
      </c>
    </row>
    <row r="8">
      <c r="A8" s="521" t="inlineStr">
        <is>
          <t>Date 1</t>
        </is>
      </c>
      <c r="B8" s="521" t="inlineStr">
        <is>
          <t>Install</t>
        </is>
      </c>
      <c r="C8" s="387" t="inlineStr">
        <is>
          <t>1. Uninstall any application currently on the device.
2. Proceed to www.commcarehq.org/a/qateam
3. Select the Date Widgets application
4. Proceed to deploy
5. Deploy the application</t>
        </is>
      </c>
      <c r="D8" s="564" t="n"/>
      <c r="E8" s="521" t="n"/>
      <c r="F8" s="521" t="n"/>
      <c r="G8" s="166" t="n"/>
      <c r="I8" s="0" t="inlineStr">
        <is>
          <t>Automatable</t>
        </is>
      </c>
      <c r="J8" s="0" t="inlineStr">
        <is>
          <t>Yes</t>
        </is>
      </c>
      <c r="K8" s="0" t="inlineStr">
        <is>
          <t>(handled by ../common/install_app_as_web_user.yaml, APP_NAME: Date Widgets)</t>
        </is>
      </c>
    </row>
    <row r="9">
      <c r="A9" s="521" t="inlineStr">
        <is>
          <t>Date 2</t>
        </is>
      </c>
      <c r="B9" s="521" t="inlineStr">
        <is>
          <t>Nepal</t>
        </is>
      </c>
      <c r="C9" s="387" t="inlineStr">
        <is>
          <t xml:space="preserve">1. Login to the application as test1 / 1234
2. Select Start
3. Select the Nepali form
4. Proceed through the form, following the instructions.
5. When you reach the Nepal calendar, scroll through the months to ensure they appear correctly (see note)
6. Select a date and proceed to the next question.
7. Ensure the dates are displayed correctly based on what you chose.
8. Return to the previous question and pick a new date.
9. Proceed and ensure the dates updated as expected.
10. Submit the form. </t>
        </is>
      </c>
      <c r="D9" s="564" t="n"/>
      <c r="E9" s="387" t="inlineStr">
        <is>
          <t>Can use this link to ensure the months and years are correct: https://en.wikipedia.org/wiki/Jestha_(Nepali_calendar)</t>
        </is>
      </c>
      <c r="F9" s="387" t="n"/>
      <c r="G9" s="166" t="n"/>
      <c r="I9" s="0" t="inlineStr">
        <is>
          <t>Partial</t>
        </is>
      </c>
      <c r="J9" s="0" t="inlineStr">
        <is>
          <t>Yes</t>
        </is>
      </c>
      <c r="K9" s="0" t="inlineStr">
        <is>
          <t>flows/date_widgets/date_02_nepali.yaml</t>
        </is>
      </c>
    </row>
    <row r="10">
      <c r="A10" s="521" t="inlineStr">
        <is>
          <t>Date 3</t>
        </is>
      </c>
      <c r="B10" s="521" t="inlineStr">
        <is>
          <t>Ethiopian</t>
        </is>
      </c>
      <c r="C10" s="387" t="inlineStr">
        <is>
          <t xml:space="preserve">1. Login to the application as test1 / 1234
2. Select Start
3. Select the Ethiopian form
4. Proceed through the form, following the instructions.
5. When you reach the Ethiopian calendar, scroll through the months to ensure they appear correctly (see note)
6. Select a date and proceed to the next question.
7. Ensure the dates are displayed correctly based on what you chose.
8. Return to the previous question and pick a new date.
9. Proceed and ensure the dates updated as expected.
10. Submit the form. </t>
        </is>
      </c>
      <c r="D10" s="564" t="n"/>
      <c r="E10" s="387" t="inlineStr">
        <is>
          <t>Can use this link to ensure the months and years are correct:
https://en.wikipedia.org/wiki/Ethiopian_calendar (scroll to bottom of page)</t>
        </is>
      </c>
      <c r="F10" s="387" t="n"/>
      <c r="G10" s="166" t="n"/>
      <c r="I10" s="0" t="inlineStr">
        <is>
          <t>Partial</t>
        </is>
      </c>
      <c r="J10" s="0" t="inlineStr">
        <is>
          <t>Yes</t>
        </is>
      </c>
      <c r="K10" s="0" t="inlineStr">
        <is>
          <t>flows/date_widgets/date_03_ethiopian.yaml</t>
        </is>
      </c>
    </row>
    <row r="11">
      <c r="A11" s="369" t="inlineStr">
        <is>
          <t>Date 4</t>
        </is>
      </c>
      <c r="B11" s="369" t="inlineStr">
        <is>
          <t>Standard 1</t>
        </is>
      </c>
      <c r="C11" s="533" t="inlineStr">
        <is>
          <t>1. Login to the application as test1 / 1234
2. Select Start
3. Select the Standard Widget test form
4. Ensure user sees the date, month, year dropdowns on the form and is able to select any desired date.
5. Proceed to next test case.</t>
        </is>
      </c>
      <c r="D11" s="564" t="n"/>
      <c r="E11" s="387" t="inlineStr">
        <is>
          <t>flows/date_widgets/date_04_05_standard_widget.yaml - Partial because it needs an HQ web-user login; the rendered date-label text depends on today's live date, so the flow asserts the three-format label is visible/non-empty rather than a fixed string.</t>
        </is>
      </c>
      <c r="F11" s="387" t="n"/>
      <c r="G11" s="166" t="n"/>
      <c r="I11" s="0" t="inlineStr">
        <is>
          <t>Partial</t>
        </is>
      </c>
      <c r="J11" s="0" t="inlineStr">
        <is>
          <t>Yes</t>
        </is>
      </c>
      <c r="K11" s="0" t="inlineStr">
        <is>
          <t>flows/date_widgets/date_04_05_standard_widget.yaml</t>
        </is>
      </c>
    </row>
    <row r="12">
      <c r="A12" s="369" t="inlineStr">
        <is>
          <t>Date 5</t>
        </is>
      </c>
      <c r="B12" s="369" t="inlineStr">
        <is>
          <t>Standard 2</t>
        </is>
      </c>
      <c r="C12" s="533" t="inlineStr">
        <is>
          <t>1. The label should show the same date in three formats:
i. Day Abbreviation, Month Abbreviation, DD, YYYY
(Thurs, Sep 17 2020)
ii. DD/MM/YY (depending on the date chosen, it may be D/M/YY)
iii. YYYY-MM-DD</t>
        </is>
      </c>
      <c r="D12" s="564" t="n"/>
      <c r="E12" s="387" t="inlineStr">
        <is>
          <t>Same file/reason as Date 4.</t>
        </is>
      </c>
      <c r="F12" s="387" t="n"/>
      <c r="G12" s="166" t="n"/>
      <c r="I12" s="0" t="inlineStr">
        <is>
          <t>Partial</t>
        </is>
      </c>
      <c r="J12" s="0" t="inlineStr">
        <is>
          <t>Yes</t>
        </is>
      </c>
      <c r="K12" s="0" t="inlineStr">
        <is>
          <t>flows/date_widgets/date_04_05_standard_widget.yaml</t>
        </is>
      </c>
    </row>
  </sheetData>
  <mergeCells count="4">
    <mergeCell ref="B1:C1"/>
    <mergeCell ref="B3:C3"/>
    <mergeCell ref="B4:C4"/>
    <mergeCell ref="B2:C2"/>
  </mergeCells>
  <conditionalFormatting sqref="D8:D12">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2"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K18"/>
  <sheetViews>
    <sheetView workbookViewId="0">
      <selection activeCell="A1" sqref="A1"/>
    </sheetView>
  </sheetViews>
  <sheetFormatPr baseColWidth="8" defaultColWidth="17.29" defaultRowHeight="15" customHeight="1"/>
  <cols>
    <col width="17.29" customWidth="1" style="629" min="1" max="1"/>
    <col width="28" customWidth="1" style="629" min="2" max="2"/>
    <col width="76.29000000000001" customWidth="1" style="629" min="3" max="3"/>
    <col width="17.29" customWidth="1" style="629" min="4" max="6"/>
  </cols>
  <sheetData>
    <row r="1">
      <c r="A1" s="200" t="inlineStr">
        <is>
          <t>Test Area:</t>
        </is>
      </c>
      <c r="B1" s="497" t="inlineStr">
        <is>
          <t>Error Tests</t>
        </is>
      </c>
      <c r="C1" s="638" t="n"/>
      <c r="D1" s="367" t="n"/>
      <c r="E1" s="309" t="n"/>
      <c r="F1" s="309" t="n"/>
    </row>
    <row r="2" ht="26.25" customHeight="1" s="629">
      <c r="A2" s="200" t="inlineStr">
        <is>
          <t>Summary:</t>
        </is>
      </c>
      <c r="B2" s="497" t="inlineStr">
        <is>
          <t>Test ODK Errors and other features</t>
        </is>
      </c>
      <c r="C2" s="638" t="n"/>
      <c r="D2" s="367" t="n"/>
      <c r="E2" s="309" t="n"/>
      <c r="F2" s="309" t="n"/>
    </row>
    <row r="3">
      <c r="A3" s="200" t="inlineStr">
        <is>
          <t>Domain:</t>
        </is>
      </c>
      <c r="B3" s="688">
        <f>HYPERLINK("https://www.commcarehq.org/a/qateam/apps/view/0d7b77064440473a859fd19174806992/","https://www.commcarehq.org/a/qateam/apps/view/0d7b77064440473a859fd19174806992/")</f>
        <v/>
      </c>
      <c r="C3" s="638" t="n"/>
      <c r="D3" s="367" t="n"/>
      <c r="E3" s="309" t="n"/>
      <c r="F3" s="309" t="n"/>
    </row>
    <row r="4">
      <c r="A4" s="200" t="inlineStr">
        <is>
          <t xml:space="preserve">Application: </t>
        </is>
      </c>
      <c r="B4" s="497" t="inlineStr">
        <is>
          <t>Other</t>
        </is>
      </c>
      <c r="C4" s="638" t="n"/>
      <c r="D4" s="367" t="n"/>
      <c r="E4" s="309" t="n"/>
      <c r="F4" s="309" t="n"/>
    </row>
    <row r="5">
      <c r="A5" s="371" t="n"/>
      <c r="B5" s="372" t="n"/>
      <c r="C5" s="309" t="n"/>
      <c r="D5" s="367" t="n"/>
      <c r="E5" s="309" t="n"/>
      <c r="F5" s="309" t="n"/>
    </row>
    <row r="6">
      <c r="A6" s="373" t="n"/>
      <c r="B6" s="373" t="n"/>
      <c r="C6" s="373" t="n"/>
      <c r="D6" s="374" t="n"/>
      <c r="E6" s="373" t="n"/>
      <c r="F6" s="373" t="n"/>
    </row>
    <row r="7">
      <c r="A7" s="200" t="inlineStr">
        <is>
          <t>Test Case ID</t>
        </is>
      </c>
      <c r="B7" s="200" t="inlineStr">
        <is>
          <t>Summary</t>
        </is>
      </c>
      <c r="C7" s="200" t="inlineStr">
        <is>
          <t>Steps</t>
        </is>
      </c>
      <c r="D7" s="375" t="inlineStr">
        <is>
          <t>Pass/Fail</t>
        </is>
      </c>
      <c r="E7" s="200" t="inlineStr">
        <is>
          <t>Notes</t>
        </is>
      </c>
      <c r="F7" s="200" t="inlineStr">
        <is>
          <t>Ticket ID</t>
        </is>
      </c>
      <c r="I7" s="0" t="inlineStr">
        <is>
          <t>Maestro Automatability</t>
        </is>
      </c>
      <c r="J7" s="0" t="inlineStr">
        <is>
          <t>Automated?</t>
        </is>
      </c>
      <c r="K7" s="0" t="inlineStr">
        <is>
          <t>Flow File</t>
        </is>
      </c>
    </row>
    <row r="8" ht="179.25" customHeight="1" s="629">
      <c r="A8" s="497" t="inlineStr">
        <is>
          <t>Setup 1</t>
        </is>
      </c>
      <c r="B8" s="497" t="inlineStr">
        <is>
          <t>Install Application</t>
        </is>
      </c>
      <c r="C8" s="497" t="inlineStr">
        <is>
          <t>1. Uninstall the existing CommCare ODK app from your device
2. Install the latest CommCare ODK .apk file to your device
---Navigate to https://drive.google.com/a/dimagi.com/?usp=sheets_web#folders/0BwsmvRdU7iq6bS1KU1l3WnduSjg
---Click the latest CommCare ODK version .apk file to download
---Transfer the file to your mobile device and install
3. Navigate to Commcare HQ Domain and application
4. Navigate to Release Manager
5. Select the latest version of the "Other" application and select "Publish"
6. Select "Download to Android" and ensure the "Include Multimedia" box is checked
7. Select "Scan the Bar Code" and scan with your device
8. Tap on "Start Install"
9. Verify that CommCare successfully installs and you are taken to the log-in screen</t>
        </is>
      </c>
      <c r="D8" s="137" t="n"/>
      <c r="E8" s="497" t="n"/>
      <c r="F8" s="497" t="n"/>
      <c r="I8" s="0" t="inlineStr">
        <is>
          <t>Automatable</t>
        </is>
      </c>
      <c r="J8" s="0" t="inlineStr">
        <is>
          <t>Yes</t>
        </is>
      </c>
      <c r="K8" s="0" t="inlineStr">
        <is>
          <t>(handled by ../common/install_app_as_web_user.yaml, APP_NAME: Other)</t>
        </is>
      </c>
    </row>
    <row r="9" ht="27" customHeight="1" s="629">
      <c r="A9" s="497" t="inlineStr">
        <is>
          <t>Setup 2</t>
        </is>
      </c>
      <c r="B9" s="497" t="inlineStr">
        <is>
          <t>Restore User</t>
        </is>
      </c>
      <c r="C9" s="497" t="inlineStr">
        <is>
          <t>1. Enter your user name and password and select "Log In"
2. Verify that a message box pops up saying it's logging in
3. Verify you are directed to the CommCare home screen once successfully logged in
4. Verify that the session expiration message immediately displays in the phone's notification bar after logging in</t>
        </is>
      </c>
      <c r="D9" s="137" t="n"/>
      <c r="E9" s="497" t="n"/>
      <c r="F9" s="497" t="n"/>
      <c r="I9" s="0" t="inlineStr">
        <is>
          <t>Automatable</t>
        </is>
      </c>
      <c r="J9" s="0" t="inlineStr">
        <is>
          <t>Yes</t>
        </is>
      </c>
      <c r="K9" s="0" t="inlineStr">
        <is>
          <t>flows/other_error_tests/xform_error_01_04.yaml</t>
        </is>
      </c>
    </row>
    <row r="10" ht="27" customHeight="1" s="629">
      <c r="A10" s="497" t="inlineStr">
        <is>
          <t>Keyboard Navigation</t>
        </is>
      </c>
      <c r="B10" s="497" t="inlineStr">
        <is>
          <t>Ensure action key function updates</t>
        </is>
      </c>
      <c r="C10" s="497" t="inlineStr">
        <is>
          <t>1. Select "Start"--&gt;"Interface"--&gt;"Keyboard Tests"
There will be a series of screens with multiple questions per screen. Each question will test how your "action" key (typically the enter key) will react when focused on different questions and when pressed. Follow the prompts on each screen and verify the action key changes as directed. Note that the enter key will either say "enter" or have an arrow symbol indicating enter, depending on your device.
2. When you're finished with the form, save and exit
3. Verify you're returned to the home screen</t>
        </is>
      </c>
      <c r="D10" s="137" t="n"/>
      <c r="E10" s="497" t="inlineStr">
        <is>
          <t>flows/other_error_tests/keyboard_navigation.yaml - Partial because the IME action-key symbol is rendered by the on-device keyboard app (Gboard etc.), not by CommCare's own view hierarchy; Maestro can't reliably assert its per-question appearance, so only paging+completing the form is verified.</t>
        </is>
      </c>
      <c r="F10" s="497" t="n"/>
      <c r="I10" s="0" t="inlineStr">
        <is>
          <t>Partial</t>
        </is>
      </c>
      <c r="J10" s="0" t="inlineStr">
        <is>
          <t>Yes</t>
        </is>
      </c>
      <c r="K10" s="0" t="inlineStr">
        <is>
          <t>flows/other_error_tests/keyboard_navigation.yaml</t>
        </is>
      </c>
    </row>
    <row r="11" ht="17.25" customHeight="1" s="629">
      <c r="A11" s="497" t="inlineStr">
        <is>
          <t>XForm Error 1</t>
        </is>
      </c>
      <c r="B11" s="497" t="inlineStr">
        <is>
          <t xml:space="preserve">Test whether invalid calculate expression fails correctly </t>
        </is>
      </c>
      <c r="C11" s="497" t="inlineStr">
        <is>
          <t>1. Press "Start"--&gt;"Xform Error Tests"--&gt;"Xform Immediate Fail"
2. Verify that CommCare immediately gives an error message describing a problem located in relevant expression  and XPath evaluation type mismatch
3. Select "OK" and verify you're returned to the form list</t>
        </is>
      </c>
      <c r="D11" s="137" t="n"/>
      <c r="E11" s="497" t="inlineStr">
        <is>
          <t>flows/other_error_tests/xform_error_01_04.yaml covers XForm Error 1-4 together.</t>
        </is>
      </c>
      <c r="F11" s="497" t="n"/>
      <c r="I11" s="0" t="inlineStr">
        <is>
          <t>Automatable</t>
        </is>
      </c>
      <c r="J11" s="0" t="inlineStr">
        <is>
          <t>Yes</t>
        </is>
      </c>
      <c r="K11" s="0" t="inlineStr">
        <is>
          <t>flows/other_error_tests/xform_error_01_04.yaml</t>
        </is>
      </c>
    </row>
    <row r="12" ht="27" customHeight="1" s="629">
      <c r="A12" s="497" t="inlineStr">
        <is>
          <t>XForm Error 2</t>
        </is>
      </c>
      <c r="B12" s="497" t="inlineStr">
        <is>
          <t xml:space="preserve">Test whether an invalid calculate expression has a delayed fail </t>
        </is>
      </c>
      <c r="C12" s="497" t="inlineStr">
        <is>
          <t>1. Select "Delayed Fail"
2. Verify you're able to begin the form but that an error message displays immediately after navigating through the form describing a problem located in the calculate expression
3. Select "OK" and verify you're returned to the form list</t>
        </is>
      </c>
      <c r="D12" s="137" t="n"/>
      <c r="E12" s="497" t="inlineStr">
        <is>
          <t>Same file as XForm Error 1.</t>
        </is>
      </c>
      <c r="F12" s="497" t="n"/>
      <c r="I12" s="0" t="inlineStr">
        <is>
          <t>Automatable</t>
        </is>
      </c>
      <c r="J12" s="0" t="inlineStr">
        <is>
          <t>Yes</t>
        </is>
      </c>
      <c r="K12" s="0" t="inlineStr">
        <is>
          <t>flows/other_error_tests/xform_error_01_04.yaml</t>
        </is>
      </c>
    </row>
    <row r="13" ht="27" customHeight="1" s="629">
      <c r="A13" s="497" t="inlineStr">
        <is>
          <t>Xform Error 3</t>
        </is>
      </c>
      <c r="B13" s="497" t="inlineStr">
        <is>
          <t xml:space="preserve">Test whether bad relevancy condition fails correctly </t>
        </is>
      </c>
      <c r="C13" s="497" t="inlineStr">
        <is>
          <t>1. Select "Relevancy Fail"
2. Verify an error message immediately displays stating there was a problem located in a relevant expression and that a question was not found
3. Select "OK" and verify you're returned to the form list</t>
        </is>
      </c>
      <c r="D13" s="137" t="n"/>
      <c r="E13" s="497" t="inlineStr">
        <is>
          <t>Same file as XForm Error 1.</t>
        </is>
      </c>
      <c r="F13" s="497" t="n"/>
      <c r="I13" s="0" t="inlineStr">
        <is>
          <t>Automatable</t>
        </is>
      </c>
      <c r="J13" s="0" t="inlineStr">
        <is>
          <t>Yes</t>
        </is>
      </c>
      <c r="K13" s="0" t="inlineStr">
        <is>
          <t>flows/other_error_tests/xform_error_01_04.yaml</t>
        </is>
      </c>
    </row>
    <row r="14" ht="27" customHeight="1" s="629">
      <c r="A14" s="497" t="inlineStr">
        <is>
          <t>Xform Error 4</t>
        </is>
      </c>
      <c r="B14" s="497" t="inlineStr">
        <is>
          <t>Test whether a bad repeat node reference fails correctly</t>
        </is>
      </c>
      <c r="C14" s="497" t="inlineStr">
        <is>
          <t>1. Select "Repeat Error"
2. Verify an error message immediately displays stating the problem was located in the calculate expression for data in a hidden value, and that it looks like the question contains a reference to a repeat group which was not found
3. Select "OK" and verify you're returned to the form list</t>
        </is>
      </c>
      <c r="D14" s="137" t="n"/>
      <c r="E14" s="497" t="inlineStr">
        <is>
          <t>Same file as XForm Error 1.</t>
        </is>
      </c>
      <c r="F14" s="497" t="n"/>
      <c r="I14" s="0" t="inlineStr">
        <is>
          <t>Automatable</t>
        </is>
      </c>
      <c r="J14" s="0" t="inlineStr">
        <is>
          <t>Yes</t>
        </is>
      </c>
      <c r="K14" s="0" t="inlineStr">
        <is>
          <t>flows/other_error_tests/xform_error_01_04.yaml</t>
        </is>
      </c>
    </row>
    <row r="15" ht="27" customHeight="1" s="629">
      <c r="A15" s="497" t="inlineStr">
        <is>
          <t>Callout Setup 1</t>
        </is>
      </c>
      <c r="B15" s="497" t="inlineStr">
        <is>
          <t>Install Breath Counter</t>
        </is>
      </c>
      <c r="C15" s="497" t="inlineStr">
        <is>
          <t>1. Exit out of CommCare and navigate to the Google Play store to download the Breath Counter app
2. The application is called "Breath Counter 3.0" and is created by Dimagi, and has a picture of lungs as the symbol
3. When you find it, install it to your device</t>
        </is>
      </c>
      <c r="D15" s="137" t="n"/>
      <c r="E15" s="497" t="inlineStr">
        <is>
          <t>Requires installing a real third-party app from the Google Play Store mid-test (Breath Counter / an SMS app) - BrowserStack's Maestro sessions test one fixed, pre-uploaded app-under-test; installing additional Play Store apps at test time and handing off to them via intent isn't something this pipeline supports (different from the ExternalApp Tests tab's own controlled companion-app mechanism, which only covers a purpose-built CommCare test fixture).</t>
        </is>
      </c>
      <c r="F15" s="497" t="n"/>
      <c r="I15" s="0" t="inlineStr">
        <is>
          <t>Not automatable</t>
        </is>
      </c>
      <c r="J15" s="0" t="inlineStr">
        <is>
          <t>N/A</t>
        </is>
      </c>
    </row>
    <row r="16" ht="27" customHeight="1" s="629">
      <c r="A16" s="497" t="inlineStr">
        <is>
          <t>Callout Setup 2</t>
        </is>
      </c>
      <c r="B16" s="497" t="inlineStr">
        <is>
          <t>Install SMS Application</t>
        </is>
      </c>
      <c r="C16" s="497" t="inlineStr">
        <is>
          <t>1. Ensure that your device has a valid SMS application (usually installed by default)
2. If not, install such an application from the Play Store such as Textra</t>
        </is>
      </c>
      <c r="D16" s="137" t="n"/>
      <c r="E16" s="497" t="inlineStr">
        <is>
          <t>Requires installing a real third-party app from the Google Play Store mid-test (Breath Counter / an SMS app) - BrowserStack's Maestro sessions test one fixed, pre-uploaded app-under-test; installing additional Play Store apps at test time and handing off to them via intent isn't something this pipeline supports (different from the ExternalApp Tests tab's own controlled companion-app mechanism, which only covers a purpose-built CommCare test fixture).</t>
        </is>
      </c>
      <c r="F16" s="497" t="n"/>
      <c r="I16" s="0" t="inlineStr">
        <is>
          <t>Not automatable</t>
        </is>
      </c>
      <c r="J16" s="0" t="inlineStr">
        <is>
          <t>N/A</t>
        </is>
      </c>
    </row>
    <row r="17" ht="26.25" customHeight="1" s="629">
      <c r="A17" s="497" t="inlineStr">
        <is>
          <t>Arbitrary Intent 1</t>
        </is>
      </c>
      <c r="B17" s="497" t="inlineStr">
        <is>
          <t>Test CommCare's external callout function</t>
        </is>
      </c>
      <c r="C17" s="497" t="inlineStr">
        <is>
          <t>1. Re-open CommCare and navigate to "Start"--&gt;"Interface"--&gt;"External Callouts" 
2. Follow the instructions on screen--click the "Get Data" button to open the Breath Counter application and verify it opens
3. Start the counter by clicking the breath button
4. After 60 seconds and the counter ends, select, "Submit Data"
5. Verify you've returned to the first question in your form and your results are recorded under a "Update Data" button</t>
        </is>
      </c>
      <c r="D17" s="137" t="n"/>
      <c r="E17" s="497" t="inlineStr">
        <is>
          <t>Requires installing a real third-party app from the Google Play Store mid-test (Breath Counter / an SMS app) - BrowserStack's Maestro sessions test one fixed, pre-uploaded app-under-test; installing additional Play Store apps at test time and handing off to them via intent isn't something this pipeline supports (different from the ExternalApp Tests tab's own controlled companion-app mechanism, which only covers a purpose-built CommCare test fixture).</t>
        </is>
      </c>
      <c r="F17" s="497" t="n"/>
      <c r="I17" s="0" t="inlineStr">
        <is>
          <t>Not automatable</t>
        </is>
      </c>
      <c r="J17" s="0" t="inlineStr">
        <is>
          <t>N/A</t>
        </is>
      </c>
    </row>
    <row r="18" ht="90" customHeight="1" s="629">
      <c r="A18" s="497" t="inlineStr">
        <is>
          <t>Arbitrary Intent 2</t>
        </is>
      </c>
      <c r="B18" s="497" t="inlineStr">
        <is>
          <t>Test CommCare's expanded call out feature</t>
        </is>
      </c>
      <c r="C18" s="497" t="inlineStr">
        <is>
          <t>1. Navigate forward to the next question and select the "Send SMS" button
2. Verify the SMS application opens on your device and the text field is automatically entered with, "This is the text message text" and the phone number "1234567890" is entered as the recipient</t>
        </is>
      </c>
      <c r="D18" s="137" t="n"/>
      <c r="E18" s="497" t="inlineStr">
        <is>
          <t>Requires installing a real third-party app from the Google Play Store mid-test (Breath Counter / an SMS app) - BrowserStack's Maestro sessions test one fixed, pre-uploaded app-under-test; installing additional Play Store apps at test time and handing off to them via intent isn't something this pipeline supports (different from the ExternalApp Tests tab's own controlled companion-app mechanism, which only covers a purpose-built CommCare test fixture).</t>
        </is>
      </c>
      <c r="F18" s="497" t="n"/>
      <c r="I18" s="0" t="inlineStr">
        <is>
          <t>Not automatable</t>
        </is>
      </c>
      <c r="J18" s="0" t="inlineStr">
        <is>
          <t>N/A</t>
        </is>
      </c>
    </row>
  </sheetData>
  <mergeCells count="4">
    <mergeCell ref="B1:C1"/>
    <mergeCell ref="B3:C3"/>
    <mergeCell ref="B4:C4"/>
    <mergeCell ref="B2:C2"/>
  </mergeCells>
  <conditionalFormatting sqref="D8:D18">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8" showDropDown="0" showInputMessage="0" showErrorMessage="1" allowBlank="1" type="list">
      <formula1>"Pass,Fail,N/A,Blocking"</formula1>
    </dataValidation>
  </dataValidation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J17"/>
  <sheetViews>
    <sheetView workbookViewId="0">
      <selection activeCell="A1" sqref="A1"/>
    </sheetView>
  </sheetViews>
  <sheetFormatPr baseColWidth="8" defaultColWidth="17.29" defaultRowHeight="15" customHeight="1"/>
  <cols>
    <col width="26.71" customWidth="1" style="629" min="2" max="2"/>
    <col width="68.56999999999999" customWidth="1" style="629" min="3" max="3"/>
    <col width="21.14" customWidth="1" style="629" min="4" max="4"/>
    <col width="24.43" customWidth="1" style="629" min="5" max="5"/>
    <col width="22" customWidth="1" style="629" min="8" max="8"/>
    <col width="22" customWidth="1" style="629" min="9" max="9"/>
    <col width="22" customWidth="1" style="629" min="10" max="10"/>
  </cols>
  <sheetData>
    <row r="1">
      <c r="A1" s="470" t="inlineStr">
        <is>
          <t>Test Area:</t>
        </is>
      </c>
      <c r="B1" s="487" t="inlineStr">
        <is>
          <t>External App</t>
        </is>
      </c>
      <c r="C1" s="638" t="n"/>
      <c r="D1" s="410" t="n"/>
      <c r="E1" s="410" t="n"/>
      <c r="F1" s="410" t="n"/>
    </row>
    <row r="2">
      <c r="A2" s="470" t="inlineStr">
        <is>
          <t>Summary:</t>
        </is>
      </c>
      <c r="B2" s="487" t="inlineStr">
        <is>
          <t>Test ODK Errors and other features</t>
        </is>
      </c>
      <c r="C2" s="638" t="n"/>
      <c r="D2" s="410" t="n"/>
      <c r="E2" s="410" t="n"/>
      <c r="F2" s="410" t="n"/>
    </row>
    <row r="3">
      <c r="A3" s="470" t="inlineStr">
        <is>
          <t>Domain:</t>
        </is>
      </c>
      <c r="B3" s="693" t="inlineStr">
        <is>
          <t>https://www.commcarehq.org/a/sansar/apps/view/e45245362793f25c9692791c58d10b15/</t>
        </is>
      </c>
      <c r="C3" s="638" t="n"/>
      <c r="D3" s="410" t="n"/>
      <c r="E3" s="410" t="n"/>
      <c r="F3" s="410" t="n"/>
    </row>
    <row r="4">
      <c r="A4" s="470" t="inlineStr">
        <is>
          <t xml:space="preserve">Application: </t>
        </is>
      </c>
      <c r="B4" s="694" t="inlineStr">
        <is>
          <t xml:space="preserve">External App Fixture Tests
External app from Jenkins </t>
        </is>
      </c>
      <c r="C4" s="633" t="n"/>
      <c r="D4" s="410" t="n"/>
      <c r="E4" s="410" t="n"/>
      <c r="F4" s="410" t="n"/>
    </row>
    <row r="5">
      <c r="A5" s="642" t="n"/>
      <c r="B5" s="635" t="n"/>
      <c r="C5" s="637" t="n"/>
      <c r="D5" s="410" t="n"/>
      <c r="E5" s="410" t="n"/>
      <c r="F5" s="410" t="n"/>
    </row>
    <row r="6">
      <c r="A6" s="470" t="inlineStr">
        <is>
          <t>Test Case ID</t>
        </is>
      </c>
      <c r="B6" s="470" t="inlineStr">
        <is>
          <t>Summary</t>
        </is>
      </c>
      <c r="C6" s="470" t="inlineStr">
        <is>
          <t>Steps</t>
        </is>
      </c>
      <c r="D6" s="441" t="inlineStr">
        <is>
          <t>Pass/Fail</t>
        </is>
      </c>
      <c r="E6" s="470" t="inlineStr">
        <is>
          <t>Notes</t>
        </is>
      </c>
      <c r="F6" s="470" t="inlineStr">
        <is>
          <t>Ticket ID</t>
        </is>
      </c>
      <c r="H6" s="663" t="inlineStr">
        <is>
          <t>Maestro Automatability</t>
        </is>
      </c>
      <c r="I6" s="663" t="inlineStr">
        <is>
          <t>Automated?</t>
        </is>
      </c>
      <c r="J6" s="663" t="inlineStr">
        <is>
          <t>Flow File</t>
        </is>
      </c>
    </row>
    <row r="7">
      <c r="A7" s="399" t="inlineStr">
        <is>
          <t>Setup 1</t>
        </is>
      </c>
      <c r="B7" s="399" t="inlineStr">
        <is>
          <t>Download ExternalApp</t>
        </is>
      </c>
      <c r="C7" s="398" t="inlineStr">
        <is>
          <t>1. Download the Mobile API Testing App:
https://jenkins.dimagi.com/job/Mobile%20API%20Testing%20App/
2. Transfer the app to your testing device
3. Install the ExternalApp</t>
        </is>
      </c>
      <c r="D7" s="399" t="n"/>
      <c r="E7" s="399" t="inlineStr">
        <is>
          <t>Partial: out-of-band provisioning (download a build artifact from an internal Jenkins job, transfer it to a device) - not something Maestro can express. The resulting APK is now committed directly (resources/Mobile API Testing App-release.apk) and consumed via run_suite.py --other-app, so the automation works around this Setup step rather than performing it. See flows/externalapp_tests/README.md.</t>
        </is>
      </c>
      <c r="F7" s="410" t="n"/>
      <c r="H7" s="0" t="inlineStr">
        <is>
          <t>Partial</t>
        </is>
      </c>
      <c r="I7" s="672" t="inlineStr">
        <is>
          <t>Yes</t>
        </is>
      </c>
      <c r="J7" s="0" t="inlineStr">
        <is>
          <t>(out-of-band provisioning - fetching the APK from an internal Jenkins job is not a Maestro flow; see flows/externalapp_tests/README.md for how the resulting APK is consumed via `run_suite.py --other-app`)</t>
        </is>
      </c>
    </row>
    <row r="8">
      <c r="A8" s="399" t="inlineStr">
        <is>
          <t>Setup 2</t>
        </is>
      </c>
      <c r="B8" s="399" t="inlineStr">
        <is>
          <t>Download CommCare</t>
        </is>
      </c>
      <c r="C8" s="399" t="inlineStr">
        <is>
          <t>1. Uninstall any existing version of CommCare
2. Install the CommCare app in test (using the link shared on the JIRA ticket)</t>
        </is>
      </c>
      <c r="D8" s="399" t="n"/>
      <c r="E8" s="399" t="n"/>
      <c r="F8" s="410" t="n"/>
      <c r="H8" s="0" t="inlineStr">
        <is>
          <t>Automatable</t>
        </is>
      </c>
      <c r="I8" s="670" t="inlineStr">
        <is>
          <t>Yes</t>
        </is>
      </c>
      <c r="J8" s="0" t="inlineStr">
        <is>
          <t>(covered by run_suite.py's own APK upload/install - not a Maestro flow)</t>
        </is>
      </c>
    </row>
    <row r="9">
      <c r="A9" s="399" t="inlineStr">
        <is>
          <t>Setup 3</t>
        </is>
      </c>
      <c r="B9" s="399" t="inlineStr">
        <is>
          <t>Deploy Basic Tests</t>
        </is>
      </c>
      <c r="C9" s="399" t="inlineStr">
        <is>
          <t>1. Navigate to External App Fixture Tests 
2. Deploy  External App Fixture Tests 
3. Login with qa_user/123
4. Minimize CommCare but leave it running the background</t>
        </is>
      </c>
      <c r="D9" s="399" t="n"/>
      <c r="E9" s="399" t="inlineStr">
        <is>
          <t>Note: Apps on qadomain will crash since it contains fixtures &gt; 1MB.</t>
        </is>
      </c>
      <c r="F9" s="410" t="n"/>
      <c r="H9" s="0" t="inlineStr">
        <is>
          <t>Partial</t>
        </is>
      </c>
      <c r="I9" s="672" t="inlineStr">
        <is>
          <t>Yes</t>
        </is>
      </c>
      <c r="J9" s="0" t="inlineStr">
        <is>
          <t>hq_setup/externalapp_tests/setup_03_deploy_fixture_app.json; flows/externalapp_tests/setup_03_login_and_background.yaml</t>
        </is>
      </c>
    </row>
    <row r="10">
      <c r="A10" s="399" t="inlineStr">
        <is>
          <t>External App 1</t>
        </is>
      </c>
      <c r="B10" s="399" t="inlineStr">
        <is>
          <t>Launch ExternalApp</t>
        </is>
      </c>
      <c r="C10" s="399" t="inlineStr">
        <is>
          <t>1. Launch the External App
2. Verify you see a series of buttons, including:
- Start CommCare
- Acquire CommCare Key
- View Case Data
- View Fixture Data</t>
        </is>
      </c>
      <c r="D10" s="399" t="n"/>
      <c r="E10" s="399" t="inlineStr">
        <is>
          <t>Partial: automated (flows/externalapp_tests/external_app_01_launch_and_verify_buttons.yaml), but the companion app's on-screen button text is UNVERIFIED - static APK analysis (aapt dump + dex string scan) found no literal matches for the sheet's documented button labels, so these flows match by the sheet's own wording without confirmation against a live render. See flows/externalapp_tests/README.md.</t>
        </is>
      </c>
      <c r="F10" s="410" t="n"/>
      <c r="H10" s="0" t="inlineStr">
        <is>
          <t>Partial</t>
        </is>
      </c>
      <c r="I10" s="672" t="inlineStr">
        <is>
          <t>Yes</t>
        </is>
      </c>
      <c r="J10" s="0" t="inlineStr">
        <is>
          <t>flows/externalapp_tests/external_app_01_launch_and_verify_buttons.yaml</t>
        </is>
      </c>
    </row>
    <row r="11">
      <c r="A11" s="399" t="inlineStr">
        <is>
          <t>External App 2</t>
        </is>
      </c>
      <c r="B11" s="399" t="inlineStr">
        <is>
          <t>Start CommCare</t>
        </is>
      </c>
      <c r="C11" s="399" t="inlineStr">
        <is>
          <t>1. In the ExternalApp, select Start CommCare
2. Verify the Basic Form launches
3. Enter a value and submit
4. Ensure you're able to successfully submit</t>
        </is>
      </c>
      <c r="D11" s="399" t="n"/>
      <c r="E11" s="399" t="inlineStr">
        <is>
          <t>Partial: automated (flows/externalapp_tests/external_app_02_start_commcare_submit_form.yaml); same companion-app button-text caveat as External App 1 - see flows/externalapp_tests/README.md.</t>
        </is>
      </c>
      <c r="F11" s="410" t="n"/>
      <c r="H11" s="0" t="inlineStr">
        <is>
          <t>Partial</t>
        </is>
      </c>
      <c r="I11" s="672" t="inlineStr">
        <is>
          <t>Yes</t>
        </is>
      </c>
      <c r="J11" s="0" t="inlineStr">
        <is>
          <t>flows/externalapp_tests/external_app_02_start_commcare_submit_form.yaml</t>
        </is>
      </c>
    </row>
    <row r="12">
      <c r="A12" s="399" t="inlineStr">
        <is>
          <t>External App 3</t>
        </is>
      </c>
      <c r="B12" s="399" t="inlineStr">
        <is>
          <t>View Case Data</t>
        </is>
      </c>
      <c r="C12" s="401" t="inlineStr">
        <is>
          <t>1. In the ExternalApp, select View Case Data
2. Ensure a series of cases are visible
3. Click on a case
4. Verify you see all the properties and values saved to that case</t>
        </is>
      </c>
      <c r="D12" s="399" t="n"/>
      <c r="E12" s="399" t="inlineStr">
        <is>
          <t>Partial: automated (flows/externalapp_tests/external_app_03_view_case_data.yaml); same companion-app button-text caveat as External App 1.</t>
        </is>
      </c>
      <c r="F12" s="410" t="n"/>
      <c r="H12" s="0" t="inlineStr">
        <is>
          <t>Partial</t>
        </is>
      </c>
      <c r="I12" s="672" t="inlineStr">
        <is>
          <t>Yes</t>
        </is>
      </c>
      <c r="J12" s="0" t="inlineStr">
        <is>
          <t>flows/externalapp_tests/external_app_03_view_case_data.yaml</t>
        </is>
      </c>
    </row>
    <row r="13">
      <c r="A13" s="399" t="inlineStr">
        <is>
          <t>External App 4</t>
        </is>
      </c>
      <c r="B13" s="399" t="inlineStr">
        <is>
          <t>Launch Update Form</t>
        </is>
      </c>
      <c r="C13" s="399" t="inlineStr">
        <is>
          <t>1. In the ExternalApp, select View Case Data
2. Ensure a series of cases are visible
3. Long press on a case (click and hold)
4. Verify an update form is launched
5. Enter Data and submit the update form</t>
        </is>
      </c>
      <c r="D13" s="399" t="n"/>
      <c r="E13" s="399" t="inlineStr">
        <is>
          <t>Partial: automated (flows/externalapp_tests/external_app_04_launch_update_form.yaml); same companion-app button-text caveat as External App 1.</t>
        </is>
      </c>
      <c r="F13" s="410" t="n"/>
      <c r="H13" s="0" t="inlineStr">
        <is>
          <t>Partial</t>
        </is>
      </c>
      <c r="I13" s="672" t="inlineStr">
        <is>
          <t>Yes</t>
        </is>
      </c>
      <c r="J13" s="0" t="inlineStr">
        <is>
          <t>flows/externalapp_tests/external_app_04_launch_update_form.yaml</t>
        </is>
      </c>
    </row>
    <row r="14">
      <c r="A14" s="399" t="inlineStr">
        <is>
          <t>External App 5</t>
        </is>
      </c>
      <c r="B14" s="399" t="inlineStr">
        <is>
          <t>View Fixture Data</t>
        </is>
      </c>
      <c r="C14" s="399" t="inlineStr">
        <is>
          <t>1. In the ExternalApp, select View Fixture Data
2. Ensure Fixture information is visible
(Data such as Locations, Groups etc)
3. Click on location data and verify you can see the information that comprises it</t>
        </is>
      </c>
      <c r="D14" s="399" t="n"/>
      <c r="E14" s="399" t="inlineStr">
        <is>
          <t>Partial: automated (flows/externalapp_tests/external_app_05_view_fixture_data.yaml); same companion-app button-text caveat as External App 1.</t>
        </is>
      </c>
      <c r="F14" s="410" t="n"/>
      <c r="H14" s="0" t="inlineStr">
        <is>
          <t>Partial</t>
        </is>
      </c>
      <c r="I14" s="672" t="inlineStr">
        <is>
          <t>Yes</t>
        </is>
      </c>
      <c r="J14" s="0" t="inlineStr">
        <is>
          <t>flows/externalapp_tests/external_app_05_view_fixture_data.yaml</t>
        </is>
      </c>
    </row>
    <row r="15">
      <c r="A15" s="399" t="inlineStr">
        <is>
          <t>External App 6</t>
        </is>
      </c>
      <c r="B15" s="399" t="inlineStr">
        <is>
          <t>Acquire CommCare Key</t>
        </is>
      </c>
      <c r="C15" s="401" t="inlineStr">
        <is>
          <t>1. In the ExternalApp, select Acquire CommCare Key
2. User will be navigated to a screen prompting to grant or deny permissions
3. Grant permissions
4. Verify that navigation brings you to a screen similar to ExternalApp's home screen but with a "Sync CommCare" button
5. Press "Sync CommCare"
6. Verify that in a few moments, popup text states, "Sync Successful"</t>
        </is>
      </c>
      <c r="D15" s="399" t="n"/>
      <c r="E15" s="399" t="inlineStr">
        <is>
          <t>Not automatable: combines the cross-app CommCare-key handshake with a real Android OS permission-grant dialog, confirmed to behave inconsistently across BrowserStack's device-farm Android versions - see flows/externalapp_tests/README.md.</t>
        </is>
      </c>
      <c r="F15" s="410" t="n"/>
      <c r="H15" s="0" t="inlineStr">
        <is>
          <t>Not automatable</t>
        </is>
      </c>
      <c r="I15" s="671" t="inlineStr">
        <is>
          <t>N/A</t>
        </is>
      </c>
    </row>
    <row r="16">
      <c r="A16" s="410" t="n"/>
      <c r="B16" s="410" t="n"/>
      <c r="C16" s="410" t="n"/>
      <c r="D16" s="410" t="n"/>
      <c r="E16" s="410" t="n"/>
      <c r="F16" s="410" t="n"/>
    </row>
    <row r="17">
      <c r="A17" s="410" t="n"/>
      <c r="B17" s="410" t="n"/>
      <c r="C17" s="410" t="n"/>
      <c r="D17" s="410" t="n"/>
      <c r="E17" s="410" t="n"/>
      <c r="F17" s="410" t="n"/>
    </row>
  </sheetData>
  <mergeCells count="5">
    <mergeCell ref="B2:C2"/>
    <mergeCell ref="B3:C3"/>
    <mergeCell ref="A4:A5"/>
    <mergeCell ref="B1:C1"/>
    <mergeCell ref="B4:C5"/>
  </mergeCells>
  <conditionalFormatting sqref="D7:D15">
    <cfRule type="containsText" priority="1" operator="containsText" dxfId="0" text="Pass">
      <formula>NOT(ISERROR(SEARCH(("Pass"),(D7))))</formula>
    </cfRule>
    <cfRule type="containsText" priority="2" operator="containsText" dxfId="1" text="Fail">
      <formula>NOT(ISERROR(SEARCH(("Fail"),(D7))))</formula>
    </cfRule>
    <cfRule type="containsText" priority="3" operator="containsText" dxfId="2" text="N/A">
      <formula>NOT(ISERROR(SEARCH(("N/A"),(D7))))</formula>
    </cfRule>
    <cfRule type="containsText" priority="4" operator="containsText" dxfId="3" text="Blocking">
      <formula>NOT(ISERROR(SEARCH(("Blocking"),(D7))))</formula>
    </cfRule>
  </conditionalFormatting>
  <dataValidations count="1">
    <dataValidation sqref="D7:D15"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B4" r:id="rId2"/>
    <hyperlink xmlns:r="http://schemas.openxmlformats.org/officeDocument/2006/relationships" ref="C7" r:id="rId3"/>
  </hyperlink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L61"/>
  <sheetViews>
    <sheetView workbookViewId="0">
      <selection activeCell="A1" sqref="A1"/>
    </sheetView>
  </sheetViews>
  <sheetFormatPr baseColWidth="8" defaultColWidth="17.29" defaultRowHeight="15" customHeight="1"/>
  <cols>
    <col width="28.57" customWidth="1" style="629" min="2" max="2"/>
    <col width="65.43000000000001" customWidth="1" style="629" min="3" max="3"/>
    <col width="13.57" customWidth="1" style="629" min="4" max="4"/>
    <col width="14" customWidth="1" style="629" min="5" max="5"/>
    <col width="16" customWidth="1" style="629" min="6" max="6"/>
    <col width="22" customWidth="1" style="629" min="8" max="8"/>
    <col width="22" customWidth="1" style="629" min="9" max="9"/>
    <col width="22" customWidth="1" style="629" min="10" max="10"/>
  </cols>
  <sheetData>
    <row r="1">
      <c r="A1" s="470" t="inlineStr">
        <is>
          <t>Test Area:</t>
        </is>
      </c>
      <c r="B1" s="487" t="inlineStr">
        <is>
          <t>Right to Left Tests</t>
        </is>
      </c>
      <c r="C1" s="638" t="n"/>
      <c r="D1" s="410" t="n"/>
      <c r="E1" s="410" t="n"/>
      <c r="F1" s="410" t="n"/>
      <c r="G1" s="410" t="n"/>
      <c r="H1" s="410" t="n"/>
      <c r="I1" s="410" t="n"/>
      <c r="J1" s="410" t="n"/>
      <c r="K1" s="410" t="n"/>
      <c r="L1" s="410" t="n"/>
    </row>
    <row r="2">
      <c r="A2" s="470" t="inlineStr">
        <is>
          <t>Summary:</t>
        </is>
      </c>
      <c r="B2" s="487" t="inlineStr">
        <is>
          <t>Test CommCare's ability to display languages running right to left</t>
        </is>
      </c>
      <c r="C2" s="638" t="n"/>
      <c r="D2" s="410" t="n"/>
      <c r="E2" s="410" t="n"/>
      <c r="F2" s="410" t="n"/>
      <c r="G2" s="410" t="n"/>
      <c r="H2" s="410" t="n"/>
      <c r="I2" s="410" t="n"/>
      <c r="J2" s="410" t="n"/>
      <c r="K2" s="410" t="n"/>
      <c r="L2" s="410" t="n"/>
    </row>
    <row r="3">
      <c r="A3" s="470" t="inlineStr">
        <is>
          <t>Domain:</t>
        </is>
      </c>
      <c r="B3" s="693" t="inlineStr">
        <is>
          <t>https://www.commcarehq.org/a/qateam/dashboard/project/</t>
        </is>
      </c>
      <c r="C3" s="638" t="n"/>
      <c r="D3" s="410" t="n"/>
      <c r="E3" s="410" t="n"/>
      <c r="F3" s="410" t="n"/>
      <c r="G3" s="410" t="n"/>
      <c r="H3" s="410" t="n"/>
      <c r="I3" s="410" t="n"/>
      <c r="J3" s="410" t="n"/>
      <c r="K3" s="410" t="n"/>
      <c r="L3" s="410" t="n"/>
    </row>
    <row r="4">
      <c r="A4" s="470" t="inlineStr">
        <is>
          <t xml:space="preserve">Application: </t>
        </is>
      </c>
      <c r="B4" s="693">
        <f>HYPERLINK("https://www.commcarehq.org/a/qateam/apps/view/1abba0dead4daede49abc56c04e56ae0/","Right to Left Tests")</f>
        <v/>
      </c>
      <c r="C4" s="638" t="n"/>
      <c r="D4" s="410" t="n"/>
      <c r="E4" s="410" t="n"/>
      <c r="F4" s="410" t="n"/>
      <c r="G4" s="410" t="n"/>
      <c r="H4" s="410" t="n"/>
      <c r="I4" s="410" t="n"/>
      <c r="J4" s="410" t="n"/>
      <c r="K4" s="410" t="n"/>
      <c r="L4" s="410" t="n"/>
    </row>
    <row r="5">
      <c r="A5" s="470" t="inlineStr">
        <is>
          <t>Note:</t>
        </is>
      </c>
      <c r="B5" s="487" t="inlineStr">
        <is>
          <t>This series of tests will address how CommCare renders and displays RtL text. This is not to verify the Arabic translations of this app. Some words may be translated poorly or still appear in English. This is acceptable. Rather, we're looking to ensure the app behaves in a specific way.</t>
        </is>
      </c>
      <c r="C5" s="638" t="n"/>
      <c r="D5" s="410" t="n"/>
      <c r="E5" s="410" t="n"/>
      <c r="F5" s="410" t="n"/>
      <c r="G5" s="410" t="n"/>
      <c r="H5" s="410" t="n"/>
      <c r="I5" s="410" t="n"/>
      <c r="J5" s="410" t="n"/>
      <c r="K5" s="410" t="n"/>
      <c r="L5" s="410" t="n"/>
    </row>
    <row r="6">
      <c r="A6" s="410" t="n"/>
      <c r="B6" s="410" t="n"/>
      <c r="C6" s="399" t="n"/>
      <c r="D6" s="410" t="n"/>
      <c r="E6" s="410" t="n"/>
      <c r="F6" s="410" t="n"/>
      <c r="G6" s="410" t="n"/>
      <c r="H6" s="410" t="n"/>
      <c r="I6" s="410" t="n"/>
      <c r="J6" s="410" t="n"/>
      <c r="K6" s="410" t="n"/>
      <c r="L6" s="410" t="n"/>
    </row>
    <row r="7">
      <c r="A7" s="470" t="inlineStr">
        <is>
          <t>Test Case ID</t>
        </is>
      </c>
      <c r="B7" s="470" t="inlineStr">
        <is>
          <t>Summary</t>
        </is>
      </c>
      <c r="C7" s="470" t="inlineStr">
        <is>
          <t>Steps</t>
        </is>
      </c>
      <c r="D7" s="441" t="inlineStr">
        <is>
          <t>Pass/Fail</t>
        </is>
      </c>
      <c r="E7" s="470" t="inlineStr">
        <is>
          <t>Notes</t>
        </is>
      </c>
      <c r="F7" s="470" t="inlineStr">
        <is>
          <t>Ticket ID</t>
        </is>
      </c>
      <c r="G7" s="397" t="n"/>
      <c r="H7" s="695" t="inlineStr">
        <is>
          <t>Maestro Automatability</t>
        </is>
      </c>
      <c r="I7" s="695" t="inlineStr">
        <is>
          <t>Automated?</t>
        </is>
      </c>
      <c r="J7" s="695" t="inlineStr">
        <is>
          <t>Flow File</t>
        </is>
      </c>
      <c r="K7" s="410" t="n"/>
      <c r="L7" s="410" t="n"/>
    </row>
    <row r="8">
      <c r="A8" s="399" t="inlineStr">
        <is>
          <t>Setup 1</t>
        </is>
      </c>
      <c r="B8" s="399" t="inlineStr">
        <is>
          <t>Download App</t>
        </is>
      </c>
      <c r="C8" s="398">
        <f>HYPERLINK("https://www.commcarehq.org/a/qateam/apps/view/1abba0dead4daede49abc56c04e56ae0/","1. Uninstall CommCare
2. Download the latest CommCare build (version in test)
3. Access the Right to Left App here (linked)
4. Deploy the latest version of the app to mobile")
</f>
        <v/>
      </c>
      <c r="D8" s="399" t="n"/>
      <c r="E8" s="399" t="inlineStr">
        <is>
          <t>Partial: hq_setup/right_to_left_text/setup_01_publish_rtl_app.json automates marking the RTL-test app's latest build Released via HQ; the on-device install itself uses the same barcode-claim mechanism as Mobile Pins' own Setup 4, which stays a manual/Not-automatable step there too.</t>
        </is>
      </c>
      <c r="F8" s="399" t="n"/>
      <c r="G8" s="410" t="n"/>
      <c r="H8" s="410" t="inlineStr">
        <is>
          <t>Partial</t>
        </is>
      </c>
      <c r="I8" s="710" t="inlineStr">
        <is>
          <t>Yes</t>
        </is>
      </c>
      <c r="J8" s="410" t="inlineStr">
        <is>
          <t>(handled by hq_setup/right_to_left_text/setup_01_publish_rtl_app.json - no dedicated flow needed beyond Setup 4-style manual barcode-claim)</t>
        </is>
      </c>
      <c r="K8" s="410" t="n"/>
      <c r="L8" s="410" t="n"/>
    </row>
    <row r="9">
      <c r="A9" s="399" t="inlineStr">
        <is>
          <t>Setup 2</t>
        </is>
      </c>
      <c r="B9" s="410" t="inlineStr">
        <is>
          <t>Change Device language</t>
        </is>
      </c>
      <c r="C9" s="399" t="inlineStr">
        <is>
          <t>1. Access  your device's settings (likely a gear icon)
2. Select Language &amp; input (likely a globe icon)
3. Choose Language (likely the first option)
4. Select Arabic
(note, Arabic is likely in Arabic. Reference the screenshot to the right)</t>
        </is>
      </c>
      <c r="D9" s="399" t="n"/>
      <c r="E9" s="410" t="inlineStr">
        <is>
          <t>Partial: automates changing the device's SYSTEM language to Arabic via the real Android Settings app (flows/right_to_left_text/setup_02_change_device_language_to_arabic.yaml) - distinct from Setup 3's pure in-app language switch, which is separately automated.</t>
        </is>
      </c>
      <c r="F9" s="410" t="n"/>
      <c r="G9" s="410" t="n"/>
      <c r="H9" s="410" t="inlineStr">
        <is>
          <t>Partial</t>
        </is>
      </c>
      <c r="I9" s="710" t="inlineStr">
        <is>
          <t>Yes</t>
        </is>
      </c>
      <c r="J9" s="410" t="inlineStr">
        <is>
          <t>flows/right_to_left_text/setup_02_change_device_language_to_arabic.yaml</t>
        </is>
      </c>
      <c r="K9" s="410" t="n"/>
      <c r="L9" s="410" t="n"/>
    </row>
    <row r="10">
      <c r="A10" s="399" t="inlineStr">
        <is>
          <t>Setup 3</t>
        </is>
      </c>
      <c r="B10" s="410" t="n"/>
      <c r="C10" s="399" t="inlineStr">
        <is>
          <t>1. Return to the home screen and launch CommCare
2. Verify CommCare opens successfully
3. Select options within CommCare and change the app's language to Arabic</t>
        </is>
      </c>
      <c r="D10" s="399" t="n"/>
      <c r="E10" s="410" t="n"/>
      <c r="F10" s="410" t="n"/>
      <c r="G10" s="410" t="n"/>
      <c r="H10" s="410" t="inlineStr">
        <is>
          <t>Automatable</t>
        </is>
      </c>
      <c r="I10" s="710" t="inlineStr">
        <is>
          <t>Yes</t>
        </is>
      </c>
      <c r="J10" s="410" t="inlineStr">
        <is>
          <t>flows/right_to_left_text/setup_03_change_language_to_arabic.yaml</t>
        </is>
      </c>
      <c r="K10" s="410" t="n"/>
      <c r="L10" s="410" t="n"/>
    </row>
    <row r="11">
      <c r="A11" s="470" t="inlineStr">
        <is>
          <t>Login Screen</t>
        </is>
      </c>
      <c r="B11" s="410" t="n"/>
      <c r="C11" s="399" t="n"/>
      <c r="D11" s="410" t="n"/>
      <c r="E11" s="410" t="n"/>
      <c r="F11" s="410" t="n"/>
      <c r="G11" s="410" t="n"/>
      <c r="H11" s="410" t="n"/>
      <c r="I11" s="410" t="n"/>
      <c r="J11" s="410" t="n"/>
      <c r="K11" s="410" t="n"/>
      <c r="L11" s="410" t="n"/>
    </row>
    <row r="12">
      <c r="A12" s="410" t="inlineStr">
        <is>
          <t>Login 1</t>
        </is>
      </c>
      <c r="B12" s="410" t="inlineStr">
        <is>
          <t>Header</t>
        </is>
      </c>
      <c r="C12" s="399" t="inlineStr">
        <is>
          <t>1. Verify the name of the app is on the right
2. Verify the options button 'three dots' is on the right corner of app</t>
        </is>
      </c>
      <c r="D12" s="399" t="n"/>
      <c r="E12" s="410" t="inlineStr">
        <is>
          <t>Login header: app-name position and the overflow-button position are both claims about the toolbar - No stable Maestro selector exists for the control in question, confirmed via commcare-android source: the toolbar's overflow ('More options') button and the app-name title are rendered by the platform AppCompat/Toolbar with no custom resource id or app-owned string (the title falls back to a per-flavor build value).</t>
        </is>
      </c>
      <c r="F12" s="410" t="n"/>
      <c r="G12" s="410" t="n"/>
      <c r="H12" s="410" t="inlineStr">
        <is>
          <t>Not automatable</t>
        </is>
      </c>
      <c r="I12" s="697" t="inlineStr">
        <is>
          <t>N/A</t>
        </is>
      </c>
      <c r="J12" s="410" t="n"/>
      <c r="K12" s="410" t="n"/>
      <c r="L12" s="410" t="n"/>
    </row>
    <row r="13">
      <c r="A13" s="410" t="inlineStr">
        <is>
          <t>Login 2</t>
        </is>
      </c>
      <c r="B13" s="410" t="inlineStr">
        <is>
          <t>Body</t>
        </is>
      </c>
      <c r="C13" s="399" t="inlineStr">
        <is>
          <t>1. Note the app list dropdown, the shaded triangle should be in the  bottom left
2. Click the app list dropdown, ensure apps are right aligned
2. Verify username field is right aligned, that the text begins on the right
3. Verify the password field is right aligned</t>
        </is>
      </c>
      <c r="D13" s="399" t="n"/>
      <c r="E13" s="410" t="inlineStr">
        <is>
          <t>App-list dropdown/username/password 'right aligned' and dropdown-arrow position: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 The app spinner itself is `visibility=gone` for a single-app install, so its own dropdown-arrow claim is moot for this test app regardless.</t>
        </is>
      </c>
      <c r="F13" s="410" t="n"/>
      <c r="G13" s="410" t="n"/>
      <c r="H13" s="410" t="inlineStr">
        <is>
          <t>Not automatable</t>
        </is>
      </c>
      <c r="I13" s="697" t="inlineStr">
        <is>
          <t>N/A</t>
        </is>
      </c>
      <c r="J13" s="410" t="n"/>
      <c r="K13" s="410" t="n"/>
      <c r="L13" s="410" t="n"/>
    </row>
    <row r="14">
      <c r="A14" s="410" t="inlineStr">
        <is>
          <t>Login 3</t>
        </is>
      </c>
      <c r="B14" s="410" t="inlineStr">
        <is>
          <t>Login</t>
        </is>
      </c>
      <c r="C14" s="399" t="inlineStr">
        <is>
          <t>1. Select username field
2. Type username test1
3. Verify text populates the field from right to left
4. Select password field
5. Type 123 and verify the text (hidden) populates from right to left
6. Log in (test1/123)</t>
        </is>
      </c>
      <c r="D14" s="399" t="n"/>
      <c r="E14" s="410" t="inlineStr">
        <is>
          <t>Text populating 'right to left' as you type is a rendering-over-time property, not a discrete state Maestro can sample. Confirmed live 2026-08-10: this app has real Arabic translations for common strings ('Start', 'Log out of CommCare', menu items), so English text selectors stop matching once the in-app language is switched to Arabic - a build attempt using English fallback selectors failed almost everywhere in CI for this reason.</t>
        </is>
      </c>
      <c r="F14" s="410" t="n"/>
      <c r="G14" s="410" t="n"/>
      <c r="H14" s="410" t="inlineStr">
        <is>
          <t>Not automatable</t>
        </is>
      </c>
      <c r="I14" s="697" t="inlineStr">
        <is>
          <t>N/A</t>
        </is>
      </c>
      <c r="J14" s="410" t="n"/>
      <c r="K14" s="410" t="n"/>
      <c r="L14" s="410" t="n"/>
    </row>
    <row r="15">
      <c r="A15" s="470" t="inlineStr">
        <is>
          <t>Home Screen</t>
        </is>
      </c>
      <c r="B15" s="410" t="n"/>
      <c r="C15" s="399" t="n"/>
      <c r="D15" s="410" t="n"/>
      <c r="E15" s="410" t="n"/>
      <c r="F15" s="410" t="n"/>
      <c r="G15" s="410" t="n"/>
      <c r="H15" s="410" t="n"/>
      <c r="I15" s="410" t="n"/>
      <c r="J15" s="410" t="n"/>
      <c r="K15" s="410" t="n"/>
      <c r="L15" s="410" t="n"/>
    </row>
    <row r="16">
      <c r="A16" s="410" t="inlineStr">
        <is>
          <t>Home Screen 1</t>
        </is>
      </c>
      <c r="B16" s="410" t="inlineStr">
        <is>
          <t>Options Header</t>
        </is>
      </c>
      <c r="C16" s="399" t="inlineStr">
        <is>
          <t>1. Verify the name of the app is on the right
2. Verify the options button is on the left</t>
        </is>
      </c>
      <c r="D16" s="399" t="n"/>
      <c r="E16" s="410" t="inlineStr">
        <is>
          <t>Automated: same device-level Arabic locale mechanism as Home Screen 8 (scripts/appium_rtl_scenarios.py's run_home_screen_1) - confirmed live the toolbar's nav-drawer icon (x:[0,168]-&gt;x:[912,1080]) and overflow icon (x:[960,1080]-&gt;x:[0,120]) mirror exactly like the home tiles do, identified by class/structure scoped to the toolbar's own stable resource-id, never by content-desc text (which itself changes under a real device-locale change - confirmed "More options" becomes "مزيد من الخيارات"). The app title's own position claim needed a real fix: a first attempt asserted the title sat right-of-center, which failed live for this app's longer title ("Right to Left Tests!") even though the mirroring was genuinely correct - confirmed via a second real screen (the login screen's shorter "CommCare" title) that both share an identical right edge (864) and identical ~48px gap to the drawer icon, proving the title is anchored adjacent to the drawer icon wherever it currently sits, not pinned to an absolute half-screen threshold. Verified passing live 2026-09-15 after that fix. NOTE: "Login 1" (row 12) makes the same toolbar-position claim but its own wording expects the options button on the RIGHT under RTL - confirmed live this contradicts the real, correct behavior (options button mirrors to the LEFT on the login screen too, identically to the home screen) - flagged to the user as a likely error in the sheet's own wording rather than encoded as a wrong assertion; left Not automatable pending that decision.</t>
        </is>
      </c>
      <c r="F16" s="410" t="n"/>
      <c r="G16" s="410" t="n"/>
      <c r="H16" s="410" t="inlineStr">
        <is>
          <t>Automatable</t>
        </is>
      </c>
      <c r="I16" s="697" t="inlineStr">
        <is>
          <t>Yes</t>
        </is>
      </c>
      <c r="J16" s="410" t="inlineStr">
        <is>
          <t>scripts/appium_rtl_scenarios.py + scripts/run_appium_rtl_suite.py</t>
        </is>
      </c>
      <c r="K16" s="410" t="n"/>
      <c r="L16" s="410" t="n"/>
    </row>
    <row r="17">
      <c r="A17" s="410" t="inlineStr">
        <is>
          <t>Home Screen 2</t>
        </is>
      </c>
      <c r="B17" s="410" t="inlineStr">
        <is>
          <t>Items within options</t>
        </is>
      </c>
      <c r="C17" s="399" t="inlineStr">
        <is>
          <t>1. Select the options button (three vertical dots)
2. Ensure the options within it are right aligned</t>
        </is>
      </c>
      <c r="D17" s="399" t="n"/>
      <c r="E17" s="410" t="inlineStr">
        <is>
          <t>Options-menu item text alignment: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 Item PRESENCE/order is checkable via real menu_app_home.xml ids, but that's a materially weaker check than the sheet's own alignment claim.</t>
        </is>
      </c>
      <c r="F17" s="410" t="n"/>
      <c r="G17" s="410" t="n"/>
      <c r="H17" s="410" t="inlineStr">
        <is>
          <t>Not automatable</t>
        </is>
      </c>
      <c r="I17" s="697" t="inlineStr">
        <is>
          <t>N/A</t>
        </is>
      </c>
      <c r="J17" s="410" t="n"/>
      <c r="K17" s="410" t="n"/>
      <c r="L17" s="410" t="n"/>
    </row>
    <row r="18">
      <c r="A18" s="410" t="inlineStr">
        <is>
          <t>Home Screen 3</t>
        </is>
      </c>
      <c r="B18" s="410" t="inlineStr">
        <is>
          <t>Update page</t>
        </is>
      </c>
      <c r="C18" s="399" t="inlineStr">
        <is>
          <t>1. Remain in the options button or access it again
2. Select the first item in the list (this is update CommCare)
3. Verify the progress bar loads right to left</t>
        </is>
      </c>
      <c r="D18" s="399" t="n"/>
      <c r="E18" s="410" t="inlineStr">
        <is>
          <t>Progress-bar fill direction during 'Update App': The claim is an animation/rendering DIRECTION (progress bar fill direction, spinner rotation direction) sampled over time - Maestro has no angular-rotation or fill-direction assertion primitive at all, independent of whether the element has a stable id.</t>
        </is>
      </c>
      <c r="F18" s="410" t="n"/>
      <c r="G18" s="410" t="n"/>
      <c r="H18" s="410" t="inlineStr">
        <is>
          <t>Not automatable</t>
        </is>
      </c>
      <c r="I18" s="697" t="inlineStr">
        <is>
          <t>N/A</t>
        </is>
      </c>
      <c r="J18" s="410" t="n"/>
      <c r="K18" s="410" t="n"/>
      <c r="L18" s="410" t="n"/>
    </row>
    <row r="19">
      <c r="A19" s="410" t="inlineStr">
        <is>
          <t>Home Screen 4</t>
        </is>
      </c>
      <c r="B19" s="410" t="inlineStr">
        <is>
          <t>Offline install</t>
        </is>
      </c>
      <c r="C19" s="399" t="inlineStr">
        <is>
          <t>1. Remain in the options button or access it again
2. Select the first item in the list (this is update CommCare)
3. Select the options button again and choose the only option (offline install)
4. Verify the offline install text input field runs from right to left (input any characters to review)</t>
        </is>
      </c>
      <c r="D19" s="399" t="n"/>
      <c r="E19" s="402" t="inlineStr">
        <is>
          <t>'Offline install' text-input direction: the sheet's own wording doesn't match this app's real menu (there is no 'offline install' submenu in StandardHomeActivity - confirmed via source). The nearest real equivalent is UpdateActivity's own 'Offline Update' menu item (menu.update.from.ccz), which does have a real text field (screen_multimedia_inflater_location) - but RTL text-entry DIRECTION into it is the same non-automatable rendering-over-time property as Login 3.</t>
        </is>
      </c>
      <c r="F19" s="402" t="n"/>
      <c r="G19" s="410" t="n"/>
      <c r="H19" s="410" t="inlineStr">
        <is>
          <t>Not automatable</t>
        </is>
      </c>
      <c r="I19" s="697" t="inlineStr">
        <is>
          <t>N/A</t>
        </is>
      </c>
      <c r="J19" s="410" t="n"/>
      <c r="K19" s="410" t="n"/>
      <c r="L19" s="410" t="n"/>
    </row>
    <row r="20">
      <c r="A20" s="410" t="inlineStr">
        <is>
          <t>Home Screen 5</t>
        </is>
      </c>
      <c r="B20" s="410" t="inlineStr">
        <is>
          <t>Settings</t>
        </is>
      </c>
      <c r="C20" s="399" t="inlineStr">
        <is>
          <t>1. From the home screen, select the Options button
2. Select the last option (Settings)
3. Ensure all the settings are right aligned</t>
        </is>
      </c>
      <c r="D20" s="399" t="n"/>
      <c r="E20" s="410" t="inlineStr">
        <is>
          <t>Settings screen alignment: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t>
        </is>
      </c>
      <c r="F20" s="410" t="n"/>
      <c r="G20" s="410" t="n"/>
      <c r="H20" s="410" t="inlineStr">
        <is>
          <t>Not automatable</t>
        </is>
      </c>
      <c r="I20" s="697" t="inlineStr">
        <is>
          <t>N/A</t>
        </is>
      </c>
      <c r="J20" s="410" t="n"/>
      <c r="K20" s="410" t="n"/>
      <c r="L20" s="410" t="n"/>
    </row>
    <row r="21">
      <c r="A21" s="410" t="inlineStr">
        <is>
          <t>Home Screen 6</t>
        </is>
      </c>
      <c r="B21" s="399" t="inlineStr">
        <is>
          <t>Multi-choice buttons in settings</t>
        </is>
      </c>
      <c r="C21" s="399" t="inlineStr">
        <is>
          <t>1. From the home screen, select the Options button
2. Select the last option (Settings)
3. Select the first item in settings (Auto update frequency)
4. Ensure the single select multi choice buttons are right aligned</t>
        </is>
      </c>
      <c r="D21" s="399" t="n"/>
      <c r="E21" s="410" t="inlineStr">
        <is>
          <t>Auto Update Frequency choice-dialog alignment: same as above, and additionally this is a platform AlertDialog.setSingleChoiceItems() dialog (android.R.id.text1 rows) - no app-owned id to select individual rows by at all.</t>
        </is>
      </c>
      <c r="F21" s="410" t="n"/>
      <c r="G21" s="410" t="n"/>
      <c r="H21" s="410" t="inlineStr">
        <is>
          <t>Not automatable</t>
        </is>
      </c>
      <c r="I21" s="697" t="inlineStr">
        <is>
          <t>N/A</t>
        </is>
      </c>
      <c r="J21" s="410" t="n"/>
      <c r="K21" s="410" t="n"/>
      <c r="L21" s="410" t="n"/>
    </row>
    <row r="22">
      <c r="A22" s="410" t="inlineStr">
        <is>
          <t>Home Screen 7</t>
        </is>
      </c>
      <c r="B22" s="410" t="inlineStr">
        <is>
          <t>Options exploratory</t>
        </is>
      </c>
      <c r="C22" s="399" t="inlineStr">
        <is>
          <t>1. From the home screen, select the Options button
2. Cycle through the remaining options to verify that all text is either centered or right aligned</t>
        </is>
      </c>
      <c r="D22" s="399" t="n"/>
      <c r="E22" s="410" t="inlineStr">
        <is>
          <t>General options-menu sweep for alignment: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 Also the sheet's own pass criteria here is a subjective visual sweep with no discrete assertion target.</t>
        </is>
      </c>
      <c r="F22" s="410" t="n"/>
      <c r="G22" s="410" t="n"/>
      <c r="H22" s="410" t="inlineStr">
        <is>
          <t>Not automatable</t>
        </is>
      </c>
      <c r="I22" s="697" t="inlineStr">
        <is>
          <t>N/A</t>
        </is>
      </c>
      <c r="J22" s="410" t="n"/>
      <c r="K22" s="410" t="n"/>
      <c r="L22" s="410" t="n"/>
    </row>
    <row r="23">
      <c r="A23" s="410" t="inlineStr">
        <is>
          <t>Home Screen 8</t>
        </is>
      </c>
      <c r="B23" s="410" t="inlineStr">
        <is>
          <t>Home screen tiles</t>
        </is>
      </c>
      <c r="C23" s="399" t="inlineStr">
        <is>
          <t>1. Return to home screen
2. Verify home screen tiles are inverted (Sync on the left, Start and Log Out on the right)</t>
        </is>
      </c>
      <c r="D23" s="399" t="n"/>
      <c r="E23" s="410" t="inlineStr">
        <is>
          <t>Automated: confirmed live that CommCare's own in-app language switch does NOT change Android's real system layout direction (home tile bounds stayed byte-identical to English) - what genuinely causes RTL mirroring is the device's actual system locale, set via UiAutomator2's standard language/locale Appium capabilities (scripts/appium_browserstack_client.py's start_session(device_language="ar", device_locale="SA")), confirmed live to mirror the home screen's tiles (Sync moves left, Start+Logout move right) while leaving CommCare's own string content in English - so this never needs to match Arabic text at all, sidestepping the Unicode round-trip bug a prior Maestro attempt hit. See scripts/appium_rtl_scenarios.py's own module docstring for the full citation. Verified passing live 2026-09-15.</t>
        </is>
      </c>
      <c r="F23" s="410" t="n"/>
      <c r="G23" s="410" t="n"/>
      <c r="H23" s="410" t="inlineStr">
        <is>
          <t>Automatable</t>
        </is>
      </c>
      <c r="I23" s="697" t="inlineStr">
        <is>
          <t>Yes</t>
        </is>
      </c>
      <c r="J23" s="410" t="inlineStr">
        <is>
          <t>scripts/appium_rtl_scenarios.py + scripts/run_appium_rtl_suite.py</t>
        </is>
      </c>
      <c r="K23" s="410" t="n"/>
      <c r="L23" s="410" t="n"/>
    </row>
    <row r="24">
      <c r="A24" s="470" t="inlineStr">
        <is>
          <t>Question Types</t>
        </is>
      </c>
      <c r="B24" s="405" t="inlineStr">
        <is>
          <t>Note: for this section, only the Arabic text should be right aligned. I've included  English text for reference but that does not need be aligned.</t>
        </is>
      </c>
      <c r="D24" s="410" t="n"/>
      <c r="E24" s="410" t="n"/>
      <c r="F24" s="410" t="n"/>
      <c r="G24" s="410" t="n"/>
      <c r="H24" s="410" t="n"/>
      <c r="I24" s="410" t="n"/>
      <c r="J24" s="410" t="n"/>
      <c r="K24" s="410" t="n"/>
      <c r="L24" s="410" t="n"/>
    </row>
    <row r="25">
      <c r="A25" s="410" t="inlineStr">
        <is>
          <t>Question Types 1</t>
        </is>
      </c>
      <c r="B25" s="410" t="inlineStr">
        <is>
          <t>Form/Menu alignment</t>
        </is>
      </c>
      <c r="C25" s="399" t="inlineStr">
        <is>
          <t>1. From the home screen, select the green start button
2. Ensure the list of forms and menus are right aligned with the icons on the right)</t>
        </is>
      </c>
      <c r="D25" s="399" t="n"/>
      <c r="E25" s="410" t="inlineStr">
        <is>
          <t>Partial-in-practice, automated where feasible: of this row's 2 claims, 1 is now automated via the same device-level Arabic locale mechanism as Case list 4/Home Screen 8 (scripts/appium_rtl_scenarios.py, run_question_types_1) - on the Start screen's real form/menu list (confirmed live to have exactly 2 rows, "Survey" and "Case List"), each row's icon (row_img) is confirmed live to sit to the RIGHT of its own text (row_txt) under the device-level Arabic locale (row 0: row_img x:[882,1056] vs row_txt x:[72,834], screen width 1080) - a genuine, checkable element-to-element position claim, consistent with the row_img/row_txt order already established via menu_list_item_modern.xml/MenuAdapter.java source. The 2nd claim ("text right aligned within its box" - intra-widget text gravity) stays confirmed Not automatable, same as this tab's other intra-widget-alignment gaps (Case list 2/3, Question Types 3/7) - no Maestro/Appium primitive compares a single element's own internal text alignment. Verified passing live 2026-09-16 (2 runs).</t>
        </is>
      </c>
      <c r="F25" s="410" t="n"/>
      <c r="G25" s="410" t="n"/>
      <c r="H25" s="410" t="inlineStr">
        <is>
          <t>Automatable</t>
        </is>
      </c>
      <c r="I25" s="697" t="inlineStr">
        <is>
          <t>Yes</t>
        </is>
      </c>
      <c r="J25" s="410" t="inlineStr">
        <is>
          <t>scripts/appium_rtl_scenarios.py (run_question_types_1) + scripts/run_appium_rtl_suite.py</t>
        </is>
      </c>
      <c r="K25" s="410" t="n"/>
      <c r="L25" s="410" t="n"/>
    </row>
    <row r="26">
      <c r="A26" s="410" t="inlineStr">
        <is>
          <t>Question Types 2</t>
        </is>
      </c>
      <c r="B26" s="410" t="inlineStr">
        <is>
          <t>Open question types</t>
        </is>
      </c>
      <c r="C26" s="399" t="inlineStr">
        <is>
          <t>1. From the home screen, select the green start button
2. Select the first entry (this is a form and should open immediately)</t>
        </is>
      </c>
      <c r="D26" s="399" t="n"/>
      <c r="E26" s="410" t="n"/>
      <c r="F26" s="410" t="n"/>
      <c r="G26" s="410" t="n"/>
      <c r="H26" s="410" t="inlineStr">
        <is>
          <t>Automatable</t>
        </is>
      </c>
      <c r="I26" s="710" t="inlineStr">
        <is>
          <t>Yes</t>
        </is>
      </c>
      <c r="J26" s="410" t="inlineStr">
        <is>
          <t>flows/right_to_left_text/question_types_02_open_first_form.yaml</t>
        </is>
      </c>
      <c r="K26" s="410" t="n"/>
      <c r="L26" s="410" t="n"/>
    </row>
    <row r="27">
      <c r="A27" s="410" t="inlineStr">
        <is>
          <t>Question Types 3</t>
        </is>
      </c>
      <c r="B27" s="410" t="inlineStr">
        <is>
          <t>Progress and Swiping</t>
        </is>
      </c>
      <c r="C27" s="399" t="inlineStr">
        <is>
          <t>1. When in the form, ensure swiping between question is inverved (left to right)
2. Ensure the progress bar loads from right to left when proceeding between questions</t>
        </is>
      </c>
      <c r="D27" s="399" t="n"/>
      <c r="E27" s="410" t="inlineStr">
        <is>
          <t>Partial-in-practice, automated where feasible: of this row's 2 claims, 1 is now automated (scripts/appium_rtl_scenarios.py, run_question_types_3) - a prior Maestro attempt (question_types_02_open_first_form.yaml's own header) had concluded swipe had no observable effect on this form, based on checking a resource id ("nav_btn_back") confirmed live NOT to exist in this app at all (the real id is nav_btn_prev) - a false negative from a wrong selector, not real evidence against swipe navigation. Re-tested live with a safe, non-edge-hugging swipe (an earlier edge-to-edge attempt instead triggered Android's own system back gesture, landing on CommCare's "Exit Form?" dialog - a false positive for an unrelated reason): on the form's first real question, a right-to-left finger swipe genuinely navigates BACKWARD and a left-to-right finger swipe genuinely navigates FORWARD - a real, working, objectively checkable (via the visible question text changing) swipe gesture whose forward direction is exactly "left to right", matching this row's own literal wording. The 2nd claim (progress-bar fill direction - an animation/rendering direction sampled over time) stays confirmed Not automatable, same as already established - no Maestro/Appium primitive for angular-rotation or fill-direction assertions. Verified passing live 2026-09-16.</t>
        </is>
      </c>
      <c r="F27" s="410" t="n"/>
      <c r="G27" s="410" t="n"/>
      <c r="H27" s="410" t="inlineStr">
        <is>
          <t>Automatable</t>
        </is>
      </c>
      <c r="I27" s="697" t="inlineStr">
        <is>
          <t>Yes</t>
        </is>
      </c>
      <c r="J27" s="410" t="inlineStr">
        <is>
          <t>scripts/appium_rtl_scenarios.py (run_question_types_3) + scripts/run_appium_rtl_suite.py</t>
        </is>
      </c>
      <c r="K27" s="410" t="n"/>
      <c r="L27" s="410" t="n"/>
    </row>
    <row r="28">
      <c r="A28" s="410" t="inlineStr">
        <is>
          <t>Question Types 4</t>
        </is>
      </c>
      <c r="B28" s="410" t="inlineStr">
        <is>
          <t>No white space images</t>
        </is>
      </c>
      <c r="C28" s="399" t="inlineStr">
        <is>
          <t>1. The first question should display a dog and right aligned Arabic Text
2. There should be no significant white space between the question and the image
3. Select the checkbox under the dog and proceed</t>
        </is>
      </c>
      <c r="D28" s="399" t="n"/>
      <c r="E28" s="411" t="inlineStr">
        <is>
          <t>Image/text whitespace gap measurement requires pixel-distance analysis Maestro doesn't expose (no bounds-distance assertion primitive).</t>
        </is>
      </c>
      <c r="F28" s="411" t="n"/>
      <c r="G28" s="410" t="n"/>
      <c r="H28" s="410" t="inlineStr">
        <is>
          <t>Not automatable</t>
        </is>
      </c>
      <c r="I28" s="697" t="inlineStr">
        <is>
          <t>N/A</t>
        </is>
      </c>
      <c r="J28" s="410" t="n"/>
      <c r="K28" s="410" t="n"/>
      <c r="L28" s="410" t="n"/>
    </row>
    <row r="29">
      <c r="A29" s="410" t="inlineStr">
        <is>
          <t>Question Types 5</t>
        </is>
      </c>
      <c r="B29" s="410" t="inlineStr">
        <is>
          <t>Audio functional</t>
        </is>
      </c>
      <c r="C29" s="399" t="inlineStr">
        <is>
          <t>1. The second question should contain an audio file, it should play and the audio link should be at the question's left
2. The question should allow text and special characters. Ensure this is right aligned when entering</t>
        </is>
      </c>
      <c r="D29" s="399" t="n"/>
      <c r="E29" s="411" t="inlineStr">
        <is>
          <t>Audio widget position + text entry direction: No stable Maestro selector exists for the control in question, confirmed via commcare-android source: AudioWidget's play/record/choose buttons are built programmatically in source with no setId() call at all or app-owned string (the title falls back to a per-flavor build value). StringWidget's answer EditText is also a bare, id-less &lt;EditText&gt; (confirmed in source).</t>
        </is>
      </c>
      <c r="F29" s="411" t="n"/>
      <c r="G29" s="410" t="n"/>
      <c r="H29" s="410" t="inlineStr">
        <is>
          <t>Not automatable</t>
        </is>
      </c>
      <c r="I29" s="697" t="inlineStr">
        <is>
          <t>N/A</t>
        </is>
      </c>
      <c r="J29" s="410" t="n"/>
      <c r="K29" s="410" t="n"/>
      <c r="L29" s="410" t="n"/>
    </row>
    <row r="30">
      <c r="A30" s="410" t="inlineStr">
        <is>
          <t>Question Types 6</t>
        </is>
      </c>
      <c r="B30" s="410" t="inlineStr">
        <is>
          <t>Video functional</t>
        </is>
      </c>
      <c r="C30" s="399" t="inlineStr">
        <is>
          <t>1. The third question should have a video link. It should play and should be located at the questions left
2. Enter integers and ensure they're right aligned</t>
        </is>
      </c>
      <c r="D30" s="399" t="n"/>
      <c r="E30" s="410" t="inlineStr">
        <is>
          <t>Video widget position + integer entry alignment: same as Question Types 5 - VideoWidget's play button and IntegerWidget's EditText are both id-less by source.</t>
        </is>
      </c>
      <c r="F30" s="410" t="n"/>
      <c r="G30" s="410" t="n"/>
      <c r="H30" s="410" t="inlineStr">
        <is>
          <t>Not automatable</t>
        </is>
      </c>
      <c r="I30" s="697" t="inlineStr">
        <is>
          <t>N/A</t>
        </is>
      </c>
      <c r="J30" s="410" t="n"/>
      <c r="K30" s="410" t="n"/>
      <c r="L30" s="410" t="n"/>
    </row>
    <row r="31">
      <c r="A31" s="410" t="inlineStr">
        <is>
          <t>Question Types 7</t>
        </is>
      </c>
      <c r="B31" s="410" t="inlineStr">
        <is>
          <t>Question Types and Appearance attributes</t>
        </is>
      </c>
      <c r="C31" s="399" t="inlineStr">
        <is>
          <t>1. Proceed through the rest of the form following the instructions for each question. This will pass if:
a) all Arabic text is right aligned (or centered)
b) Each question type accepts its specified inputs
c) Multiple choice and checkboxes are right aligned
d) All text entry fields are right aligned</t>
        </is>
      </c>
      <c r="D31" s="399" t="n"/>
      <c r="E31" s="411" t="inlineStr">
        <is>
          <t>General appearance-attribute sweep across remaining questions: combines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 with The controls involved get their ids assigned at RUNTIME (e.g. SelectOneWidget/SelectMultiWidget hash the question's form index into the RadioButton/CheckBox id, EntityView generates case-list cell ids via AndroidUtil.generateViewId()) - these are not fixed R.id.* constants and differ every run, so there is nothing stable to select even if the layout-position claim were otherwise checkable.</t>
        </is>
      </c>
      <c r="F31" s="411" t="n"/>
      <c r="G31" s="410" t="n"/>
      <c r="H31" s="410" t="inlineStr">
        <is>
          <t>Not automatable</t>
        </is>
      </c>
      <c r="I31" s="697" t="inlineStr">
        <is>
          <t>N/A</t>
        </is>
      </c>
      <c r="J31" s="410" t="n"/>
      <c r="K31" s="410" t="n"/>
      <c r="L31" s="410" t="n"/>
    </row>
    <row r="32">
      <c r="A32" s="470" t="inlineStr">
        <is>
          <t>Case List</t>
        </is>
      </c>
      <c r="B32" s="410" t="n"/>
      <c r="C32" s="399" t="n"/>
      <c r="D32" s="410" t="n"/>
      <c r="E32" s="410" t="n"/>
      <c r="F32" s="410" t="n"/>
      <c r="G32" s="410" t="n"/>
      <c r="H32" s="410" t="n"/>
      <c r="I32" s="410" t="n"/>
      <c r="J32" s="410" t="n"/>
      <c r="K32" s="410" t="n"/>
      <c r="L32" s="410" t="n"/>
    </row>
    <row r="33">
      <c r="A33" s="410" t="inlineStr">
        <is>
          <t>Case list 1</t>
        </is>
      </c>
      <c r="B33" s="410" t="inlineStr">
        <is>
          <t>Load case list</t>
        </is>
      </c>
      <c r="C33" s="399" t="inlineStr">
        <is>
          <t>1. From the home screen, select the green start button
2. Select the second item (a module)
3. Ensure a case list loads</t>
        </is>
      </c>
      <c r="D33" s="399" t="n"/>
      <c r="E33" s="410" t="n"/>
      <c r="F33" s="410" t="n"/>
      <c r="G33" s="410" t="n"/>
      <c r="H33" s="410" t="inlineStr">
        <is>
          <t>Automatable</t>
        </is>
      </c>
      <c r="I33" s="710" t="inlineStr">
        <is>
          <t>Yes</t>
        </is>
      </c>
      <c r="J33" s="410" t="inlineStr">
        <is>
          <t>flows/right_to_left_text/case_list_01_load_case_list.yaml</t>
        </is>
      </c>
      <c r="K33" s="410" t="n"/>
      <c r="L33" s="410" t="n"/>
    </row>
    <row r="34">
      <c r="A34" s="410" t="inlineStr">
        <is>
          <t>Case list 2</t>
        </is>
      </c>
      <c r="B34" s="410" t="inlineStr">
        <is>
          <t>Column inversion</t>
        </is>
      </c>
      <c r="C34" s="399" t="inlineStr">
        <is>
          <t>1. Remain on the case list
2. Verify the columns are in the following order:
Reason, Age, Name</t>
        </is>
      </c>
      <c r="D34" s="399" t="n"/>
      <c r="E34" s="410" t="inlineStr">
        <is>
          <t>Case-list column order (Reason/Age/Name): The controls involved get their ids assigned at RUNTIME (e.g. SelectOneWidget/SelectMultiWidget hash the question's form index into the RadioButton/CheckBox id, EntityView generates case-list cell ids via AndroidUtil.generateViewId()) - these are not fixed R.id.* constants and differ every run, so there is nothing stable to select even if the layout-position claim were otherwise checkable. Column order itself is driven by this HQ app's own Detail/case-list configuration, not by anything in the commcare-android client source, so there's no source-derivable order to assert against either.</t>
        </is>
      </c>
      <c r="F34" s="410" t="n"/>
      <c r="G34" s="410" t="n"/>
      <c r="H34" s="410" t="inlineStr">
        <is>
          <t>Not automatable</t>
        </is>
      </c>
      <c r="I34" s="697" t="inlineStr">
        <is>
          <t>N/A</t>
        </is>
      </c>
      <c r="J34" s="410" t="n"/>
      <c r="K34" s="410" t="n"/>
      <c r="L34" s="410" t="n"/>
    </row>
    <row r="35">
      <c r="A35" s="410" t="inlineStr">
        <is>
          <t>Case list 3</t>
        </is>
      </c>
      <c r="B35" s="410" t="inlineStr">
        <is>
          <t>Text alignment in columns</t>
        </is>
      </c>
      <c r="C35" s="399" t="inlineStr">
        <is>
          <t>1. Remain on the case list
2. Verify the Arabic name and Age are right aligned in their columns</t>
        </is>
      </c>
      <c r="D35" s="399" t="n"/>
      <c r="E35" s="410" t="inlineStr">
        <is>
          <t>Case-list text alignment in columns: combines the column-id gap above (row 34) with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t>
        </is>
      </c>
      <c r="F35" s="410" t="n"/>
      <c r="G35" s="410" t="n"/>
      <c r="H35" s="410" t="inlineStr">
        <is>
          <t>Not automatable</t>
        </is>
      </c>
      <c r="I35" s="697" t="inlineStr">
        <is>
          <t>N/A</t>
        </is>
      </c>
      <c r="J35" s="410" t="n"/>
      <c r="K35" s="410" t="n"/>
      <c r="L35" s="410" t="n"/>
    </row>
    <row r="36">
      <c r="A36" s="410" t="inlineStr">
        <is>
          <t>Case list 4</t>
        </is>
      </c>
      <c r="B36" s="410" t="inlineStr">
        <is>
          <t>Registration from Case List</t>
        </is>
      </c>
      <c r="C36" s="399" t="inlineStr">
        <is>
          <t>1. Remain on the case list
2. Verify there is a button under the case list with Arabic text
3. Ensure the text is right aligned
4. Ensure the arrow on the button points left</t>
        </is>
      </c>
      <c r="D36" s="399" t="n"/>
      <c r="E36" s="410" t="inlineStr">
        <is>
          <t>Partial-in-practice, automated where feasible: of this row's 3 claims, 2 are now automated via the same device-level Arabic locale mechanism as Home Screen 8 (scripts/appium_rtl_scenarios.py) - (1) the case-list action button's own label genuinely reads Arabic text ("تسجيل") unconditionally, checked via an Arabic-Unicode-range regex on the read-back string value, never as a tap selector; (2) the button's arrow/chevron container (right_aligned_container) is confirmed live to sit at the RIGHT edge under English/LTR (x:[838,1018] of 1080) and the LEFT edge under the device-level Arabic locale (x:[62,242]) - a genuine, checkable element-position mirror. The 3rd claim ("the text is right aligned" - intra-widget text gravity) stays confirmed Not automatable, same as this tab's other intra-widget-alignment gaps (Question Types 1/3/7) - no Maestro/Appium primitive compares a single element's own internal text alignment. Verified passing live 2026-09-15.</t>
        </is>
      </c>
      <c r="F36" s="410" t="n"/>
      <c r="G36" s="410" t="n"/>
      <c r="H36" s="410" t="inlineStr">
        <is>
          <t>Automatable</t>
        </is>
      </c>
      <c r="I36" s="697" t="inlineStr">
        <is>
          <t>Yes</t>
        </is>
      </c>
      <c r="J36" s="410" t="inlineStr">
        <is>
          <t>scripts/appium_rtl_scenarios.py + scripts/run_appium_rtl_suite.py</t>
        </is>
      </c>
      <c r="K36" s="410" t="n"/>
      <c r="L36" s="410" t="n"/>
    </row>
    <row r="37">
      <c r="A37" s="470" t="inlineStr">
        <is>
          <t>General</t>
        </is>
      </c>
      <c r="B37" s="410" t="n"/>
      <c r="C37" s="399" t="n"/>
      <c r="D37" s="410" t="n"/>
      <c r="E37" s="410" t="n"/>
      <c r="F37" s="410" t="n"/>
      <c r="G37" s="410" t="n"/>
      <c r="H37" s="410" t="n"/>
      <c r="I37" s="410" t="n"/>
      <c r="J37" s="410" t="n"/>
      <c r="K37" s="410" t="n"/>
      <c r="L37" s="410" t="n"/>
    </row>
    <row r="38">
      <c r="A38" s="410" t="inlineStr">
        <is>
          <t>General</t>
        </is>
      </c>
      <c r="B38" s="410" t="inlineStr">
        <is>
          <t>General</t>
        </is>
      </c>
      <c r="C38" s="399" t="inlineStr">
        <is>
          <t>1. Perform brief exploratory testing. Pass if:
a) Popups have right aligned text
b) Popups with progress bars load right to left
c) Sync popup contains loading icon (a line moving in a circle). This movement should be counterclockwise</t>
        </is>
      </c>
      <c r="D38" s="399" t="n"/>
      <c r="E38" s="410" t="inlineStr">
        <is>
          <t>Popup text alignment and progress-bar fill direction: The claim is text alignment/gravity WITHIN a single widget (e.g. a TextView's own text starting from its right edge) - Maestro's position selectors (leftOf/rightOf/above/below) only compare the bounding boxes of two DISTINCT elements, not a property of one element's internal rendering. There is no Maestro primitive for intra-widget text alignment, so this can't be asserted regardless of effort. / The claim is an animation/rendering DIRECTION (progress bar fill direction, spinner rotation direction) sampled over time - Maestro has no angular-rotation or fill-direction assertion primitive at all, independent of whether the element has a stable id. The sync spinner's counterclockwise-rotation claim specifically has no Maestro assertion primitive at all (angular rotation direction), regardless of selector availability - a hard tool-capability ceiling, not a research gap.</t>
        </is>
      </c>
      <c r="F38" s="410" t="n"/>
      <c r="G38" s="410" t="n"/>
      <c r="H38" s="410" t="inlineStr">
        <is>
          <t>Not automatable</t>
        </is>
      </c>
      <c r="I38" s="697" t="inlineStr">
        <is>
          <t>N/A</t>
        </is>
      </c>
      <c r="J38" s="410" t="n"/>
      <c r="K38" s="410" t="n"/>
      <c r="L38" s="410" t="n"/>
    </row>
    <row r="39">
      <c r="A39" s="410" t="n"/>
      <c r="B39" s="410" t="n"/>
      <c r="C39" s="399" t="n"/>
      <c r="D39" s="410" t="n"/>
      <c r="E39" s="410" t="n"/>
      <c r="F39" s="410" t="n"/>
      <c r="G39" s="410" t="n"/>
      <c r="H39" s="410" t="n"/>
      <c r="I39" s="410" t="n"/>
      <c r="J39" s="410" t="n"/>
      <c r="K39" s="410" t="n"/>
      <c r="L39" s="410" t="n"/>
    </row>
    <row r="40">
      <c r="A40" s="410" t="n"/>
      <c r="B40" s="410" t="n"/>
      <c r="C40" s="399" t="n"/>
      <c r="D40" s="410" t="n"/>
      <c r="E40" s="410" t="n"/>
      <c r="F40" s="410" t="n"/>
      <c r="G40" s="410" t="n"/>
      <c r="H40" s="410" t="n"/>
      <c r="I40" s="410" t="n"/>
      <c r="J40" s="410" t="n"/>
      <c r="K40" s="410" t="n"/>
      <c r="L40" s="410" t="n"/>
    </row>
    <row r="41">
      <c r="A41" s="410" t="n"/>
      <c r="B41" s="410" t="n"/>
      <c r="C41" s="399" t="n"/>
      <c r="D41" s="410" t="n"/>
      <c r="E41" s="410" t="n"/>
      <c r="F41" s="410" t="n"/>
      <c r="G41" s="410" t="n"/>
      <c r="H41" s="410" t="n"/>
      <c r="I41" s="410" t="n"/>
      <c r="J41" s="410" t="n"/>
      <c r="K41" s="410" t="n"/>
      <c r="L41" s="410" t="n"/>
    </row>
    <row r="42">
      <c r="A42" s="410" t="n"/>
      <c r="B42" s="410" t="n"/>
      <c r="C42" s="399" t="n"/>
      <c r="D42" s="410" t="n"/>
      <c r="E42" s="410" t="n"/>
      <c r="F42" s="410" t="n"/>
      <c r="G42" s="410" t="n"/>
      <c r="H42" s="410" t="n"/>
      <c r="I42" s="410" t="n"/>
      <c r="J42" s="410" t="n"/>
      <c r="K42" s="410" t="n"/>
      <c r="L42" s="410" t="n"/>
    </row>
    <row r="43">
      <c r="A43" s="410" t="n"/>
      <c r="B43" s="410" t="n"/>
      <c r="C43" s="399" t="n"/>
      <c r="D43" s="410" t="n"/>
      <c r="E43" s="410" t="n"/>
      <c r="F43" s="410" t="n"/>
      <c r="G43" s="410" t="n"/>
      <c r="H43" s="410" t="n"/>
      <c r="I43" s="410" t="n"/>
      <c r="J43" s="410" t="n"/>
      <c r="K43" s="410" t="n"/>
      <c r="L43" s="410" t="n"/>
    </row>
    <row r="44">
      <c r="A44" s="410" t="n"/>
      <c r="B44" s="410" t="n"/>
      <c r="C44" s="399" t="n"/>
      <c r="D44" s="410" t="n"/>
      <c r="E44" s="410" t="n"/>
      <c r="F44" s="410" t="n"/>
      <c r="G44" s="410" t="n"/>
      <c r="H44" s="410" t="n"/>
      <c r="I44" s="410" t="n"/>
      <c r="J44" s="410" t="n"/>
      <c r="K44" s="410" t="n"/>
      <c r="L44" s="410" t="n"/>
    </row>
    <row r="45">
      <c r="A45" s="410" t="n"/>
      <c r="B45" s="410" t="n"/>
      <c r="C45" s="399" t="n"/>
      <c r="D45" s="410" t="n"/>
      <c r="E45" s="410" t="n"/>
      <c r="F45" s="410" t="n"/>
      <c r="G45" s="410" t="n"/>
      <c r="H45" s="410" t="n"/>
      <c r="I45" s="410" t="n"/>
      <c r="J45" s="410" t="n"/>
      <c r="K45" s="410" t="n"/>
      <c r="L45" s="410" t="n"/>
    </row>
    <row r="46">
      <c r="A46" s="410" t="n"/>
      <c r="B46" s="410" t="n"/>
      <c r="C46" s="399" t="n"/>
      <c r="D46" s="410" t="n"/>
      <c r="E46" s="410" t="n"/>
      <c r="F46" s="410" t="n"/>
      <c r="G46" s="410" t="n"/>
      <c r="H46" s="410" t="n"/>
      <c r="I46" s="410" t="n"/>
      <c r="J46" s="410" t="n"/>
      <c r="K46" s="410" t="n"/>
      <c r="L46" s="410" t="n"/>
    </row>
    <row r="47">
      <c r="A47" s="410" t="n"/>
      <c r="B47" s="410" t="n"/>
      <c r="C47" s="399" t="n"/>
      <c r="D47" s="410" t="n"/>
      <c r="E47" s="410" t="n"/>
      <c r="F47" s="410" t="n"/>
      <c r="G47" s="410" t="n"/>
      <c r="H47" s="410" t="n"/>
      <c r="I47" s="410" t="n"/>
      <c r="J47" s="410" t="n"/>
      <c r="K47" s="410" t="n"/>
      <c r="L47" s="410" t="n"/>
    </row>
    <row r="48">
      <c r="A48" s="410" t="n"/>
      <c r="B48" s="410" t="n"/>
      <c r="C48" s="399" t="n"/>
      <c r="D48" s="410" t="n"/>
      <c r="E48" s="410" t="n"/>
      <c r="F48" s="410" t="n"/>
      <c r="G48" s="410" t="n"/>
      <c r="H48" s="410" t="n"/>
      <c r="I48" s="410" t="n"/>
      <c r="J48" s="410" t="n"/>
      <c r="K48" s="410" t="n"/>
      <c r="L48" s="410" t="n"/>
    </row>
    <row r="49">
      <c r="A49" s="410" t="n"/>
      <c r="B49" s="410" t="n"/>
      <c r="C49" s="399" t="n"/>
      <c r="D49" s="410" t="n"/>
      <c r="E49" s="410" t="n"/>
      <c r="F49" s="410" t="n"/>
      <c r="G49" s="410" t="n"/>
      <c r="H49" s="410" t="n"/>
      <c r="I49" s="410" t="n"/>
      <c r="J49" s="410" t="n"/>
      <c r="K49" s="410" t="n"/>
      <c r="L49" s="410" t="n"/>
    </row>
    <row r="50">
      <c r="A50" s="410" t="n"/>
      <c r="B50" s="410" t="n"/>
      <c r="C50" s="399" t="n"/>
      <c r="D50" s="410" t="n"/>
      <c r="E50" s="410" t="n"/>
      <c r="F50" s="410" t="n"/>
      <c r="G50" s="410" t="n"/>
      <c r="H50" s="410" t="n"/>
      <c r="I50" s="410" t="n"/>
      <c r="J50" s="410" t="n"/>
      <c r="K50" s="410" t="n"/>
      <c r="L50" s="410" t="n"/>
    </row>
    <row r="51">
      <c r="A51" s="410" t="n"/>
      <c r="B51" s="410" t="n"/>
      <c r="C51" s="399" t="n"/>
      <c r="D51" s="410" t="n"/>
      <c r="E51" s="410" t="n"/>
      <c r="F51" s="410" t="n"/>
      <c r="G51" s="410" t="n"/>
      <c r="H51" s="410" t="n"/>
      <c r="I51" s="410" t="n"/>
      <c r="J51" s="410" t="n"/>
      <c r="K51" s="410" t="n"/>
      <c r="L51" s="410" t="n"/>
    </row>
    <row r="52">
      <c r="A52" s="410" t="n"/>
      <c r="B52" s="410" t="n"/>
      <c r="C52" s="399" t="n"/>
      <c r="D52" s="410" t="n"/>
      <c r="E52" s="410" t="n"/>
      <c r="F52" s="410" t="n"/>
      <c r="G52" s="410" t="n"/>
      <c r="H52" s="410" t="n"/>
      <c r="I52" s="410" t="n"/>
      <c r="J52" s="410" t="n"/>
      <c r="K52" s="410" t="n"/>
      <c r="L52" s="410" t="n"/>
    </row>
    <row r="53">
      <c r="A53" s="410" t="n"/>
      <c r="B53" s="410" t="n"/>
      <c r="C53" s="399" t="n"/>
      <c r="D53" s="410" t="n"/>
      <c r="E53" s="410" t="n"/>
      <c r="F53" s="410" t="n"/>
      <c r="G53" s="410" t="n"/>
      <c r="H53" s="410" t="n"/>
      <c r="I53" s="410" t="n"/>
      <c r="J53" s="410" t="n"/>
      <c r="K53" s="410" t="n"/>
      <c r="L53" s="410" t="n"/>
    </row>
    <row r="54">
      <c r="A54" s="410" t="n"/>
      <c r="B54" s="410" t="n"/>
      <c r="C54" s="399" t="n"/>
      <c r="D54" s="410" t="n"/>
      <c r="E54" s="410" t="n"/>
      <c r="F54" s="410" t="n"/>
      <c r="G54" s="410" t="n"/>
      <c r="H54" s="410" t="n"/>
      <c r="I54" s="410" t="n"/>
      <c r="J54" s="410" t="n"/>
      <c r="K54" s="410" t="n"/>
      <c r="L54" s="410" t="n"/>
    </row>
    <row r="55">
      <c r="A55" s="410" t="n"/>
      <c r="B55" s="410" t="n"/>
      <c r="C55" s="399" t="n"/>
      <c r="D55" s="410" t="n"/>
      <c r="E55" s="410" t="n"/>
      <c r="F55" s="410" t="n"/>
      <c r="G55" s="410" t="n"/>
      <c r="H55" s="410" t="n"/>
      <c r="I55" s="410" t="n"/>
      <c r="J55" s="410" t="n"/>
      <c r="K55" s="410" t="n"/>
      <c r="L55" s="410" t="n"/>
    </row>
    <row r="56">
      <c r="A56" s="410" t="n"/>
      <c r="B56" s="410" t="n"/>
      <c r="C56" s="399" t="n"/>
      <c r="D56" s="410" t="n"/>
      <c r="E56" s="410" t="n"/>
      <c r="F56" s="410" t="n"/>
      <c r="G56" s="410" t="n"/>
      <c r="H56" s="410" t="n"/>
      <c r="I56" s="410" t="n"/>
      <c r="J56" s="410" t="n"/>
      <c r="K56" s="410" t="n"/>
      <c r="L56" s="410" t="n"/>
    </row>
    <row r="57">
      <c r="A57" s="410" t="n"/>
      <c r="B57" s="410" t="n"/>
      <c r="C57" s="399" t="n"/>
      <c r="D57" s="410" t="n"/>
      <c r="E57" s="410" t="n"/>
      <c r="F57" s="410" t="n"/>
      <c r="G57" s="410" t="n"/>
      <c r="H57" s="410" t="n"/>
      <c r="I57" s="410" t="n"/>
      <c r="J57" s="410" t="n"/>
      <c r="K57" s="410" t="n"/>
      <c r="L57" s="410" t="n"/>
    </row>
    <row r="58">
      <c r="A58" s="410" t="n"/>
      <c r="B58" s="410" t="n"/>
      <c r="C58" s="399" t="n"/>
      <c r="D58" s="410" t="n"/>
      <c r="E58" s="410" t="n"/>
      <c r="F58" s="410" t="n"/>
      <c r="G58" s="410" t="n"/>
      <c r="H58" s="410" t="n"/>
      <c r="I58" s="410" t="n"/>
      <c r="J58" s="410" t="n"/>
      <c r="K58" s="410" t="n"/>
      <c r="L58" s="410" t="n"/>
    </row>
    <row r="59">
      <c r="A59" s="410" t="n"/>
      <c r="B59" s="410" t="n"/>
      <c r="C59" s="399" t="n"/>
      <c r="D59" s="410" t="n"/>
      <c r="E59" s="410" t="n"/>
      <c r="F59" s="410" t="n"/>
      <c r="G59" s="410" t="n"/>
      <c r="H59" s="410" t="n"/>
      <c r="I59" s="410" t="n"/>
      <c r="J59" s="410" t="n"/>
      <c r="K59" s="410" t="n"/>
      <c r="L59" s="410" t="n"/>
    </row>
    <row r="60">
      <c r="A60" s="410" t="n"/>
      <c r="B60" s="410" t="n"/>
      <c r="C60" s="399" t="n"/>
      <c r="D60" s="410" t="n"/>
      <c r="E60" s="410" t="n"/>
      <c r="F60" s="410" t="n"/>
      <c r="G60" s="410" t="n"/>
      <c r="H60" s="410" t="n"/>
      <c r="I60" s="410" t="n"/>
      <c r="J60" s="410" t="n"/>
      <c r="K60" s="410" t="n"/>
      <c r="L60" s="410" t="n"/>
    </row>
    <row r="61">
      <c r="A61" s="410" t="n"/>
      <c r="B61" s="410" t="n"/>
      <c r="C61" s="399" t="n"/>
      <c r="D61" s="410" t="n"/>
      <c r="E61" s="410" t="n"/>
      <c r="F61" s="410" t="n"/>
      <c r="G61" s="410" t="n"/>
      <c r="H61" s="410" t="n"/>
      <c r="I61" s="410" t="n"/>
      <c r="J61" s="410" t="n"/>
      <c r="K61" s="410" t="n"/>
      <c r="L61" s="410" t="n"/>
    </row>
  </sheetData>
  <mergeCells count="6">
    <mergeCell ref="B24:C24"/>
    <mergeCell ref="B2:C2"/>
    <mergeCell ref="B3:C3"/>
    <mergeCell ref="B5:C5"/>
    <mergeCell ref="B1:C1"/>
    <mergeCell ref="B4:C4"/>
  </mergeCells>
  <conditionalFormatting sqref="D8:D10 D12:D14 D16:D23 D25:D31 D33:D36 D38">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0 D12:D14 D16:D23 D25:D31 D33:D36 D38"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26.xml><?xml version="1.0" encoding="utf-8"?>
<worksheet xmlns="http://schemas.openxmlformats.org/spreadsheetml/2006/main">
  <sheetPr>
    <outlinePr summaryBelow="0" summaryRight="0"/>
    <pageSetUpPr/>
  </sheetPr>
  <dimension ref="A1:K39"/>
  <sheetViews>
    <sheetView workbookViewId="0">
      <selection activeCell="A1" sqref="A1"/>
    </sheetView>
  </sheetViews>
  <sheetFormatPr baseColWidth="8" defaultColWidth="17.29" defaultRowHeight="15" customHeight="1"/>
  <cols>
    <col width="23.29" customWidth="1" style="629" min="1" max="1"/>
    <col width="35.29" customWidth="1" style="629" min="3" max="3"/>
    <col width="25.71" customWidth="1" style="629" min="4" max="4"/>
    <col width="18.57" customWidth="1" style="629" min="6" max="6"/>
    <col width="25.29" customWidth="1" style="629" min="7" max="7"/>
    <col width="22" customWidth="1" style="629" min="9" max="9"/>
    <col width="22" customWidth="1" style="629" min="10" max="10"/>
    <col width="22" customWidth="1" style="629" min="11" max="11"/>
  </cols>
  <sheetData>
    <row r="1" ht="34.5" customHeight="1" s="629">
      <c r="A1" s="408" t="inlineStr">
        <is>
          <t>Prerequisite</t>
        </is>
      </c>
      <c r="B1" s="404" t="inlineStr">
        <is>
          <t>For Tests 1, 2 and 3, begin with with 2.45 installed. 2.45 can be downloaded by clicking this link</t>
        </is>
      </c>
      <c r="D1" s="406" t="inlineStr">
        <is>
          <t xml:space="preserve">Original Jira ticket (for notes)
</t>
        </is>
      </c>
      <c r="E1" s="407" t="n"/>
      <c r="F1" s="407" t="n"/>
      <c r="G1" s="407" t="n"/>
    </row>
    <row r="2" ht="21.75" customHeight="1" s="629">
      <c r="A2" s="408" t="inlineStr">
        <is>
          <t>Username/Password</t>
        </is>
      </c>
      <c r="B2" s="409" t="inlineStr">
        <is>
          <t>test1/123</t>
        </is>
      </c>
      <c r="C2" s="410" t="n"/>
      <c r="D2" s="407" t="n"/>
      <c r="E2" s="407" t="n"/>
      <c r="F2" s="407" t="n"/>
      <c r="G2" s="407" t="n"/>
    </row>
    <row r="3">
      <c r="A3" s="408" t="inlineStr">
        <is>
          <t xml:space="preserve">Setup
</t>
        </is>
      </c>
      <c r="B3" s="412" t="inlineStr">
        <is>
          <t>(For Dimagi)
1. Ensure all v1 and v2 versions of the app are on 2.45 (or any version &lt; the test version, as long as both are same)
- No new version creation, targetting the version in test, is required for any of these tests
2. For finding the referenced version of the app, please look through the comments under a release number, on the release pages linked for a test case
SUPERSEDED (2026-08-19+): a mid-session CommCare BINARY swap IS now possible for these 3 Setup rows via BrowserStack's Appium midSessionInstallApps capability - see scripts/appium_scenarios.py (run_scenario_1/2/5) and scripts/run_appium_suite.py.</t>
        </is>
      </c>
      <c r="I3" s="0" t="inlineStr">
        <is>
          <t>Not automatable</t>
        </is>
      </c>
      <c r="J3" s="671" t="inlineStr">
        <is>
          <t>N/A</t>
        </is>
      </c>
    </row>
    <row r="4">
      <c r="A4" s="408" t="inlineStr">
        <is>
          <t>Apps</t>
        </is>
      </c>
      <c r="B4" s="412" t="inlineStr">
        <is>
          <t>1. Mobile Updates - Test 1_2
2. Mobile Updates - Test 3
3. Mobile Updates Test 4/5 Master</t>
        </is>
      </c>
      <c r="D4" s="412" t="n"/>
      <c r="E4" s="412" t="n"/>
      <c r="F4" s="412" t="n"/>
      <c r="G4" s="412" t="n"/>
    </row>
    <row r="5">
      <c r="A5" s="412" t="n"/>
      <c r="B5" s="412" t="n"/>
      <c r="C5" s="412" t="n"/>
      <c r="D5" s="412" t="n"/>
      <c r="E5" s="412" t="n"/>
      <c r="F5" s="412" t="n"/>
      <c r="G5" s="412" t="n"/>
    </row>
    <row r="6">
      <c r="A6" s="413" t="inlineStr">
        <is>
          <t xml:space="preserve">Test Case ID:1 </t>
        </is>
      </c>
      <c r="B6" s="414" t="inlineStr">
        <is>
          <t>Summary</t>
        </is>
      </c>
      <c r="C6" s="414" t="inlineStr">
        <is>
          <t>Steps</t>
        </is>
      </c>
      <c r="D6" s="414" t="inlineStr">
        <is>
          <t>Expected Result</t>
        </is>
      </c>
      <c r="E6" s="414" t="inlineStr">
        <is>
          <t>Pass/Fail</t>
        </is>
      </c>
      <c r="F6" s="470" t="inlineStr">
        <is>
          <t>Ticket ID</t>
        </is>
      </c>
      <c r="G6" s="414" t="inlineStr">
        <is>
          <t>Notes</t>
        </is>
      </c>
      <c r="I6" s="663" t="inlineStr">
        <is>
          <t>Maestro Automatability</t>
        </is>
      </c>
      <c r="J6" s="663" t="inlineStr">
        <is>
          <t>Automated?</t>
        </is>
      </c>
      <c r="K6" s="663" t="inlineStr">
        <is>
          <t>Flow File</t>
        </is>
      </c>
    </row>
    <row r="7">
      <c r="A7" s="421" t="inlineStr">
        <is>
          <t>Setup</t>
        </is>
      </c>
      <c r="B7" s="428" t="inlineStr">
        <is>
          <t>Unfinished app update, CommCare Update</t>
        </is>
      </c>
      <c r="C7" s="424" t="inlineStr">
        <is>
          <t xml:space="preserve">1. While on 2.45 Install Version 1 of the app linked here
2. Mark Version 2 of the app as released
3. Log in and select the options button and Update App
4. Let the update check complete to the point when we get the  green “Update to version x” message -&gt; But do not click on the green button
5. At this point, update the CommCare to the version in test </t>
        </is>
      </c>
      <c r="D7" s="428" t="inlineStr">
        <is>
          <t>Update to be successful and at the end, user will be logged out</t>
        </is>
      </c>
      <c r="E7" s="428" t="n"/>
      <c r="F7" s="428" t="n"/>
      <c r="G7" s="428" t="inlineStr">
        <is>
          <t>SUPERSEDED (2026-08-19+): mid-session CommCare BINARY install is now genuinely possible via BrowserStack's Appium-only midSessionInstallApps capability / `mobile: installApp` (confirmed live, not just from docs - both APKs share the same signing cert). scripts/appium_scenarios.py implements this exact precondition (interrupt CommCare's own progress dialog, then swap the binary mid-session) and has been verified passing against real BrowserStack sessions. Run via scripts/run_appium_suite.py.</t>
        </is>
      </c>
      <c r="I7" s="0" t="inlineStr">
        <is>
          <t>Automatable</t>
        </is>
      </c>
      <c r="J7" s="671" t="inlineStr">
        <is>
          <t>Yes</t>
        </is>
      </c>
      <c r="K7" s="0" t="inlineStr">
        <is>
          <t>scripts/appium_scenarios.py::run_scenario_1 (via scripts/run_appium_suite.py)</t>
        </is>
      </c>
    </row>
    <row r="8">
      <c r="A8" s="421" t="inlineStr">
        <is>
          <t>Update 1</t>
        </is>
      </c>
      <c r="B8" s="428" t="inlineStr">
        <is>
          <t>Update successful</t>
        </is>
      </c>
      <c r="C8" s="428" t="inlineStr">
        <is>
          <t>1. Log back into CommCare
2. Ensure CommCare auto-applies the staged update by checking the app version upon log in
(It should be the version that corresponds with 'Version 2')</t>
        </is>
      </c>
      <c r="D8" s="428" t="inlineStr">
        <is>
          <t>The app version should successfully update</t>
        </is>
      </c>
      <c r="E8" s="428" t="n"/>
      <c r="F8" s="428" t="n"/>
      <c r="G8" s="428" t="n"/>
      <c r="I8" s="0" t="inlineStr">
        <is>
          <t>Automatable</t>
        </is>
      </c>
      <c r="J8" s="672" t="inlineStr">
        <is>
          <t>Yes</t>
        </is>
      </c>
      <c r="K8" s="0" t="inlineStr">
        <is>
          <t>flows/updates_partial_failed/scenario_1_staged_update_auto_apply.yaml</t>
        </is>
      </c>
    </row>
    <row r="9">
      <c r="A9" s="421" t="inlineStr">
        <is>
          <t>Update 2</t>
        </is>
      </c>
      <c r="B9" s="428" t="inlineStr">
        <is>
          <t>Updated form verification</t>
        </is>
      </c>
      <c r="C9" s="428" t="inlineStr">
        <is>
          <t>1. Navigate through Form 1
2. Verify you receive no errors</t>
        </is>
      </c>
      <c r="D9" s="428" t="inlineStr">
        <is>
          <t>No errors and the form should correspond with version two</t>
        </is>
      </c>
      <c r="E9" s="428" t="n"/>
      <c r="F9" s="428" t="n"/>
      <c r="G9" s="428" t="n"/>
      <c r="I9" s="0" t="inlineStr">
        <is>
          <t>Automatable</t>
        </is>
      </c>
      <c r="J9" s="672" t="inlineStr">
        <is>
          <t>Yes</t>
        </is>
      </c>
      <c r="K9" s="0" t="inlineStr">
        <is>
          <t>flows/updates_partial_failed/scenario_1_staged_update_auto_apply.yaml</t>
        </is>
      </c>
    </row>
    <row r="10">
      <c r="A10" s="421" t="inlineStr">
        <is>
          <t>Update 3</t>
        </is>
      </c>
      <c r="B10" s="428" t="inlineStr">
        <is>
          <t>Unchanged form verification</t>
        </is>
      </c>
      <c r="C10" s="428" t="inlineStr">
        <is>
          <t>1. Navigate through Form Two
2. Verify you receive no errors</t>
        </is>
      </c>
      <c r="D10" s="428" t="inlineStr">
        <is>
          <t>No errors when running through or submitting the form</t>
        </is>
      </c>
      <c r="E10" s="428" t="n"/>
      <c r="F10" s="428" t="n"/>
      <c r="G10" s="428" t="n"/>
      <c r="I10" s="0" t="inlineStr">
        <is>
          <t>Automatable</t>
        </is>
      </c>
      <c r="J10" s="672" t="inlineStr">
        <is>
          <t>Yes</t>
        </is>
      </c>
      <c r="K10" s="0" t="inlineStr">
        <is>
          <t>flows/updates_partial_failed/scenario_1_staged_update_auto_apply.yaml</t>
        </is>
      </c>
    </row>
    <row r="11">
      <c r="A11" s="413" t="inlineStr">
        <is>
          <t>Test Case ID: 2</t>
        </is>
      </c>
      <c r="B11" s="414" t="inlineStr">
        <is>
          <t>Summary</t>
        </is>
      </c>
      <c r="C11" s="414" t="inlineStr">
        <is>
          <t>Steps</t>
        </is>
      </c>
      <c r="D11" s="414" t="inlineStr">
        <is>
          <t>Expected Result</t>
        </is>
      </c>
      <c r="E11" s="414" t="inlineStr">
        <is>
          <t>Pass/Fail</t>
        </is>
      </c>
      <c r="F11" s="414" t="n"/>
      <c r="G11" s="414" t="inlineStr">
        <is>
          <t>Notes</t>
        </is>
      </c>
      <c r="I11" s="663" t="inlineStr">
        <is>
          <t>Maestro Automatability</t>
        </is>
      </c>
      <c r="J11" s="663" t="inlineStr">
        <is>
          <t>Automated?</t>
        </is>
      </c>
      <c r="K11" s="663" t="inlineStr">
        <is>
          <t>Flow File</t>
        </is>
      </c>
    </row>
    <row r="12">
      <c r="A12" s="421" t="inlineStr">
        <is>
          <t>Setup</t>
        </is>
      </c>
      <c r="B12" s="428" t="inlineStr">
        <is>
          <t>Installation and setup</t>
        </is>
      </c>
      <c r="C12" s="424" t="inlineStr">
        <is>
          <t>1.  While on 2.45, Install Version 1 of the app linked here
2. Set Version 2 as released
3. Log in and select the options button and Update App
4. **DO NOT LET THE UPDATE CHECK COMPLETE** Rather, while  CommCare is downloading the app updates, update CommCare to the version in test</t>
        </is>
      </c>
      <c r="D12" s="428" t="inlineStr">
        <is>
          <t>Commcare update to the version in test to be successful</t>
        </is>
      </c>
      <c r="E12" s="428" t="n"/>
      <c r="F12" s="422" t="n"/>
      <c r="G12" s="423" t="inlineStr">
        <is>
          <t>SUPERSEDED (2026-08-19+): mid-session CommCare BINARY install is now genuinely possible via BrowserStack's Appium-only midSessionInstallApps capability / `mobile: installApp` (confirmed live, not just from docs - both APKs share the same signing cert). scripts/appium_scenarios.py implements this exact precondition (interrupt CommCare's own progress dialog, then swap the binary mid-session) and has been verified passing against real BrowserStack sessions. Run via scripts/run_appium_suite.py.</t>
        </is>
      </c>
      <c r="I12" s="0" t="inlineStr">
        <is>
          <t>Automatable</t>
        </is>
      </c>
      <c r="J12" s="671" t="inlineStr">
        <is>
          <t>Yes</t>
        </is>
      </c>
      <c r="K12" s="0" t="inlineStr">
        <is>
          <t>scripts/appium_scenarios.py::run_scenario_2 (via scripts/run_appium_suite.py)</t>
        </is>
      </c>
    </row>
    <row r="13">
      <c r="A13" s="421" t="inlineStr">
        <is>
          <t>Update 4</t>
        </is>
      </c>
      <c r="B13" s="428" t="inlineStr">
        <is>
          <t>Update unsuccessful</t>
        </is>
      </c>
      <c r="C13" s="428" t="inlineStr">
        <is>
          <t>1. Log back into CommCare
2. Ensure CommCare did not auto-apply the update. Check the app version upon log in
(It should be the version that corresponds with 'Version 1')</t>
        </is>
      </c>
      <c r="D13" s="428" t="inlineStr">
        <is>
          <t>The app version should not successfully update</t>
        </is>
      </c>
      <c r="E13" s="428" t="n"/>
      <c r="F13" s="428" t="n"/>
      <c r="G13" s="428" t="n"/>
      <c r="I13" s="0" t="inlineStr">
        <is>
          <t>Automatable</t>
        </is>
      </c>
      <c r="J13" s="672" t="inlineStr">
        <is>
          <t>Yes</t>
        </is>
      </c>
      <c r="K13" s="0" t="inlineStr">
        <is>
          <t>flows/updates_partial_failed/scenario_2_manual_update_after_interrupted_download.yaml</t>
        </is>
      </c>
    </row>
    <row r="14">
      <c r="A14" s="421" t="inlineStr">
        <is>
          <t>Update 5</t>
        </is>
      </c>
      <c r="B14" s="428" t="inlineStr">
        <is>
          <t>Update successful</t>
        </is>
      </c>
      <c r="C14" s="428" t="inlineStr">
        <is>
          <t>1. Return to the homescreen 
2. Select options and update the app and let the process run through in its entirety
3. Log back in and verify you're now on the version corresponding with Version 2</t>
        </is>
      </c>
      <c r="D14" s="428" t="inlineStr">
        <is>
          <t>The app version should successfully update</t>
        </is>
      </c>
      <c r="E14" s="428" t="n"/>
      <c r="F14" s="428" t="n"/>
      <c r="G14" s="428" t="n"/>
      <c r="I14" s="0" t="inlineStr">
        <is>
          <t>Automatable</t>
        </is>
      </c>
      <c r="J14" s="672" t="inlineStr">
        <is>
          <t>Yes</t>
        </is>
      </c>
      <c r="K14" s="0" t="inlineStr">
        <is>
          <t>flows/updates_partial_failed/scenario_2_manual_update_after_interrupted_download.yaml</t>
        </is>
      </c>
    </row>
    <row r="15">
      <c r="A15" s="421" t="inlineStr">
        <is>
          <t>Update 6</t>
        </is>
      </c>
      <c r="B15" s="428" t="inlineStr">
        <is>
          <t>Updated form verification</t>
        </is>
      </c>
      <c r="C15" s="428" t="inlineStr">
        <is>
          <t>1. Navigate through Form 1
2. Verify you receive no errors</t>
        </is>
      </c>
      <c r="D15" s="428" t="inlineStr">
        <is>
          <t>No errors and the form should correspond with version 2</t>
        </is>
      </c>
      <c r="E15" s="428" t="n"/>
      <c r="F15" s="428" t="n"/>
      <c r="G15" s="428" t="n"/>
      <c r="I15" s="0" t="inlineStr">
        <is>
          <t>Automatable</t>
        </is>
      </c>
      <c r="J15" s="672" t="inlineStr">
        <is>
          <t>Yes</t>
        </is>
      </c>
      <c r="K15" s="0" t="inlineStr">
        <is>
          <t>flows/updates_partial_failed/scenario_2_manual_update_after_interrupted_download.yaml</t>
        </is>
      </c>
    </row>
    <row r="16">
      <c r="A16" s="421" t="inlineStr">
        <is>
          <t>Update 7</t>
        </is>
      </c>
      <c r="B16" s="428" t="inlineStr">
        <is>
          <t>Unchanged form verification</t>
        </is>
      </c>
      <c r="C16" s="428" t="inlineStr">
        <is>
          <t>1. Navigate through Form 2
2. Verify you receive no errors</t>
        </is>
      </c>
      <c r="D16" s="428" t="inlineStr">
        <is>
          <t>No errors when running through or submitting the form</t>
        </is>
      </c>
      <c r="E16" s="428" t="n"/>
      <c r="F16" s="428" t="n"/>
      <c r="G16" s="428" t="n"/>
      <c r="I16" s="0" t="inlineStr">
        <is>
          <t>Automatable</t>
        </is>
      </c>
      <c r="J16" s="672" t="inlineStr">
        <is>
          <t>Yes</t>
        </is>
      </c>
      <c r="K16" s="0" t="inlineStr">
        <is>
          <t>flows/updates_partial_failed/scenario_2_manual_update_after_interrupted_download.yaml</t>
        </is>
      </c>
    </row>
    <row r="17">
      <c r="A17" s="413" t="inlineStr">
        <is>
          <t>Test Case ID: 3</t>
        </is>
      </c>
      <c r="B17" s="414" t="inlineStr">
        <is>
          <t>Summary</t>
        </is>
      </c>
      <c r="C17" s="414" t="inlineStr">
        <is>
          <t>Steps</t>
        </is>
      </c>
      <c r="D17" s="414" t="inlineStr">
        <is>
          <t>Expected Result</t>
        </is>
      </c>
      <c r="E17" s="414" t="inlineStr">
        <is>
          <t>Pass/Fail</t>
        </is>
      </c>
      <c r="F17" s="414" t="n"/>
      <c r="G17" s="414" t="inlineStr">
        <is>
          <t>Notes</t>
        </is>
      </c>
      <c r="I17" s="663" t="inlineStr">
        <is>
          <t>Maestro Automatability</t>
        </is>
      </c>
      <c r="J17" s="663" t="inlineStr">
        <is>
          <t>Automated?</t>
        </is>
      </c>
      <c r="K17" s="663" t="inlineStr">
        <is>
          <t>Flow File</t>
        </is>
      </c>
    </row>
    <row r="18">
      <c r="A18" s="421" t="inlineStr">
        <is>
          <t>Update between reverted app versions: 
Setup</t>
        </is>
      </c>
      <c r="B18" s="428" t="inlineStr">
        <is>
          <t>Installation and setup</t>
        </is>
      </c>
      <c r="C18" s="424" t="inlineStr">
        <is>
          <t xml:space="preserve">While on 2.45 version of Commcare, install Version 1 of the app linked here
</t>
        </is>
      </c>
      <c r="D18" s="487" t="inlineStr">
        <is>
          <t>Installation successful</t>
        </is>
      </c>
      <c r="E18" s="428" t="n"/>
      <c r="F18" s="428" t="n"/>
      <c r="G18" s="428" t="inlineStr">
        <is>
          <t>Version 1 - Forms a and B
Version 2 - Remove Form A
Version 3 - Reverted to Version 1 
Version 4 - Made a change in Form A</t>
        </is>
      </c>
      <c r="I18" s="0" t="inlineStr">
        <is>
          <t>Automatable</t>
        </is>
      </c>
      <c r="J18" s="672" t="inlineStr">
        <is>
          <t>Yes</t>
        </is>
      </c>
      <c r="K18" s="0" t="inlineStr">
        <is>
          <t>flows/updates_partial_failed/scenario_3_reverted_app_versions.yaml</t>
        </is>
      </c>
    </row>
    <row r="19">
      <c r="A19" s="421" t="inlineStr">
        <is>
          <t>Update 8</t>
        </is>
      </c>
      <c r="B19" s="428" t="inlineStr">
        <is>
          <t>Update successful</t>
        </is>
      </c>
      <c r="C19" s="428" t="inlineStr">
        <is>
          <t>Update CommCare from 2.45 to the version in test</t>
        </is>
      </c>
      <c r="D19" s="428" t="inlineStr">
        <is>
          <t>Commcare update to the version in test successful</t>
        </is>
      </c>
      <c r="E19" s="428" t="n"/>
      <c r="F19" s="428" t="n"/>
      <c r="G19" s="428" t="inlineStr">
        <is>
          <t>Runs a real, automated CCZ-update proxy action - the sheet's own literal "swap the CommCare binary" wording is a harness-level precondition, same confirmed gap as Test Case 1's Setup row (see G7).</t>
        </is>
      </c>
      <c r="I19" s="0" t="inlineStr">
        <is>
          <t>Automatable</t>
        </is>
      </c>
      <c r="J19" s="672" t="inlineStr">
        <is>
          <t>Yes</t>
        </is>
      </c>
      <c r="K19" s="0" t="inlineStr">
        <is>
          <t>flows/updates_partial_failed/scenario_3_reverted_app_versions.yaml</t>
        </is>
      </c>
    </row>
    <row r="20">
      <c r="A20" s="421" t="inlineStr">
        <is>
          <t>Update 9</t>
        </is>
      </c>
      <c r="B20" s="428" t="inlineStr">
        <is>
          <t>Update successful</t>
        </is>
      </c>
      <c r="C20" s="424" t="inlineStr">
        <is>
          <t>1. On HQ, mark Version V2 of the app as "Released" 
2. Return to the homescreen 
3. Select options and update the app and let the process run through in its entirety
4. Log back in and verify you're now on the version corresponding with Version 2</t>
        </is>
      </c>
      <c r="D20" s="428" t="inlineStr">
        <is>
          <t>App update to version 2 to be successful</t>
        </is>
      </c>
      <c r="E20" s="428" t="n"/>
      <c r="F20" s="428" t="n"/>
      <c r="G20" s="428" t="inlineStr">
        <is>
          <t>Confirmed passing via real BrowserStack dispatch (2026-08-21) - the 'mark Version released' step now happens automatically (pinned to an already-released build via scripts/app_registry.py, resolved by hq_client.py's resolve_app_codes()), no manual HQ click needed.</t>
        </is>
      </c>
      <c r="I20" s="0" t="inlineStr">
        <is>
          <t>Automatable</t>
        </is>
      </c>
      <c r="J20" s="672" t="inlineStr">
        <is>
          <t>Yes</t>
        </is>
      </c>
      <c r="K20" s="0" t="inlineStr">
        <is>
          <t>flows/updates_partial_failed/scenario_3_reverted_app_versions.yaml</t>
        </is>
      </c>
    </row>
    <row r="21">
      <c r="A21" s="421" t="inlineStr">
        <is>
          <t>Update 10</t>
        </is>
      </c>
      <c r="B21" s="428" t="inlineStr">
        <is>
          <t>Update successful</t>
        </is>
      </c>
      <c r="C21" s="424" t="inlineStr">
        <is>
          <t>1. On HQ, mark Version V4 of the app as "Released" 
2. Return to the homescreen 
3. Select options and update the app and let the process run through in its entirety
4. Log back in and verify you're now on the version corresponding with Version 4</t>
        </is>
      </c>
      <c r="D21" s="428" t="inlineStr">
        <is>
          <t>App update to version 4 to be successful</t>
        </is>
      </c>
      <c r="E21" s="428" t="n"/>
      <c r="F21" s="428" t="n"/>
      <c r="G21" s="428" t="inlineStr">
        <is>
          <t>Confirmed passing via real BrowserStack dispatch (2026-08-21) - same automatic release mechanism as Update 9 above (see G20).</t>
        </is>
      </c>
      <c r="I21" s="0" t="inlineStr">
        <is>
          <t>Automatable</t>
        </is>
      </c>
      <c r="J21" s="672" t="inlineStr">
        <is>
          <t>Yes</t>
        </is>
      </c>
      <c r="K21" s="0" t="inlineStr">
        <is>
          <t>flows/updates_partial_failed/scenario_3_reverted_app_versions.yaml</t>
        </is>
      </c>
    </row>
    <row r="22">
      <c r="A22" s="421" t="inlineStr">
        <is>
          <t>Update 11</t>
        </is>
      </c>
      <c r="B22" s="428" t="inlineStr">
        <is>
          <t>Updated form verification</t>
        </is>
      </c>
      <c r="C22" s="428" t="inlineStr">
        <is>
          <t>1. Navigate through Form One
2. Verify you receive no errors</t>
        </is>
      </c>
      <c r="D22" s="428" t="inlineStr">
        <is>
          <t>Should be successful</t>
        </is>
      </c>
      <c r="E22" s="428" t="n"/>
      <c r="F22" s="428" t="n"/>
      <c r="G22" s="428" t="n"/>
      <c r="I22" s="0" t="inlineStr">
        <is>
          <t>Automatable</t>
        </is>
      </c>
      <c r="J22" s="672" t="inlineStr">
        <is>
          <t>Yes</t>
        </is>
      </c>
      <c r="K22" s="0" t="inlineStr">
        <is>
          <t>flows/updates_partial_failed/scenario_3_reverted_app_versions.yaml</t>
        </is>
      </c>
    </row>
    <row r="23">
      <c r="A23" s="421" t="inlineStr">
        <is>
          <t>Update 12</t>
        </is>
      </c>
      <c r="B23" s="428" t="inlineStr">
        <is>
          <t>Unchanged form verification</t>
        </is>
      </c>
      <c r="C23" s="428" t="inlineStr">
        <is>
          <t>1. Navigate through Form Two
2. Verify you receive no errors</t>
        </is>
      </c>
      <c r="D23" s="428" t="inlineStr">
        <is>
          <t>Should be successful</t>
        </is>
      </c>
      <c r="E23" s="428" t="n"/>
      <c r="F23" s="428" t="n"/>
      <c r="G23" s="428" t="n"/>
      <c r="I23" s="0" t="inlineStr">
        <is>
          <t>Automatable</t>
        </is>
      </c>
      <c r="J23" s="672" t="inlineStr">
        <is>
          <t>Yes</t>
        </is>
      </c>
      <c r="K23" s="0" t="inlineStr">
        <is>
          <t>flows/updates_partial_failed/scenario_3_reverted_app_versions.yaml</t>
        </is>
      </c>
    </row>
    <row r="24">
      <c r="A24" s="413" t="inlineStr">
        <is>
          <t>Test Case ID: 4</t>
        </is>
      </c>
      <c r="B24" s="414" t="inlineStr">
        <is>
          <t>Summary</t>
        </is>
      </c>
      <c r="C24" s="414" t="inlineStr">
        <is>
          <t>Steps</t>
        </is>
      </c>
      <c r="D24" s="414" t="inlineStr">
        <is>
          <t>Expected Result</t>
        </is>
      </c>
      <c r="E24" s="414" t="inlineStr">
        <is>
          <t>Pass/Fail</t>
        </is>
      </c>
      <c r="F24" s="414" t="n"/>
      <c r="G24" s="414" t="inlineStr">
        <is>
          <t>Notes</t>
        </is>
      </c>
      <c r="I24" s="663" t="inlineStr">
        <is>
          <t>Maestro Automatability</t>
        </is>
      </c>
      <c r="J24" s="663" t="inlineStr">
        <is>
          <t>Automated?</t>
        </is>
      </c>
      <c r="K24" s="663" t="inlineStr">
        <is>
          <t>Flow File</t>
        </is>
      </c>
    </row>
    <row r="25">
      <c r="A25" s="421" t="inlineStr">
        <is>
          <t>Setup 1</t>
        </is>
      </c>
      <c r="B25" s="428" t="inlineStr">
        <is>
          <t>Master App</t>
        </is>
      </c>
      <c r="C25" s="426">
        <f>HYPERLINK("https://www.commcarehq.org/a/qateam/apps/view/1e48b7cfbb882b2da91aab3f9137de9a/releases/","Release page of the master app")</f>
        <v/>
      </c>
      <c r="D25" s="428" t="n"/>
      <c r="E25" s="428" t="n"/>
      <c r="F25" s="428" t="n"/>
      <c r="G25" s="428" t="inlineStr">
        <is>
          <t>Not automatable: a section-title/label row only (no Steps or Expected Result of its own) grouping the 'Master App' sub-scenario that follows - nothing to automate here beyond Installation 1/2 below.</t>
        </is>
      </c>
      <c r="I25" s="0" t="inlineStr">
        <is>
          <t>Not automatable</t>
        </is>
      </c>
      <c r="J25" s="671" t="inlineStr">
        <is>
          <t>N/A</t>
        </is>
      </c>
    </row>
    <row r="26">
      <c r="A26" s="421" t="inlineStr">
        <is>
          <t>Setup 2</t>
        </is>
      </c>
      <c r="B26" s="428" t="inlineStr">
        <is>
          <t>Linked App</t>
        </is>
      </c>
      <c r="C26" s="426">
        <f>HYPERLINK("https://www.commcarehq.org/a/let-sdoit/apps/view/07f49277d22d6c77ecc2df0489a80aae/releases/","Release page of the linked app")</f>
        <v/>
      </c>
      <c r="D26" s="428" t="n"/>
      <c r="E26" s="428" t="n"/>
      <c r="F26" s="428" t="n"/>
      <c r="G26" s="428" t="inlineStr">
        <is>
          <t>Not automatable: a section-title/label row only (no Steps or Expected Result of its own) grouping the 'Linked App' sub-scenario that follows - nothing to automate here beyond Installation 1/2 below.</t>
        </is>
      </c>
      <c r="I26" s="0" t="inlineStr">
        <is>
          <t>Not automatable</t>
        </is>
      </c>
      <c r="J26" s="671" t="inlineStr">
        <is>
          <t>N/A</t>
        </is>
      </c>
    </row>
    <row r="27">
      <c r="A27" s="421" t="inlineStr">
        <is>
          <t>Installation 1</t>
        </is>
      </c>
      <c r="B27" s="428" t="inlineStr">
        <is>
          <t>Commcare installation</t>
        </is>
      </c>
      <c r="C27" s="428" t="inlineStr">
        <is>
          <t>Install the Commcare apk version in test</t>
        </is>
      </c>
      <c r="D27" s="428" t="inlineStr">
        <is>
          <t>Should be successful</t>
        </is>
      </c>
      <c r="E27" s="428" t="n"/>
      <c r="F27" s="428" t="n"/>
      <c r="G27" s="428" t="n"/>
      <c r="I27" s="0" t="inlineStr">
        <is>
          <t>Automatable</t>
        </is>
      </c>
      <c r="J27" s="672" t="inlineStr">
        <is>
          <t>Yes</t>
        </is>
      </c>
      <c r="K27" s="0" t="inlineStr">
        <is>
          <t>flows/updates_partial_failed/scenario_4_linked_app_install_and_update.yaml</t>
        </is>
      </c>
    </row>
    <row r="28">
      <c r="A28" s="421" t="inlineStr">
        <is>
          <t>Installation 2</t>
        </is>
      </c>
      <c r="B28" s="428" t="inlineStr">
        <is>
          <t>Linked App installation</t>
        </is>
      </c>
      <c r="C28" s="428" t="inlineStr">
        <is>
          <t>Install version V2 of the linked app</t>
        </is>
      </c>
      <c r="D28" s="428" t="inlineStr">
        <is>
          <t>Should be successful</t>
        </is>
      </c>
      <c r="E28" s="428" t="n"/>
      <c r="F28" s="428" t="n"/>
      <c r="G28" s="428" t="n"/>
      <c r="I28" s="0" t="inlineStr">
        <is>
          <t>Automatable</t>
        </is>
      </c>
      <c r="J28" s="672" t="inlineStr">
        <is>
          <t>Yes</t>
        </is>
      </c>
      <c r="K28" s="0" t="inlineStr">
        <is>
          <t>flows/updates_partial_failed/scenario_4_linked_app_install_and_update.yaml</t>
        </is>
      </c>
    </row>
    <row r="29">
      <c r="A29" s="421" t="inlineStr">
        <is>
          <t>Update 13</t>
        </is>
      </c>
      <c r="B29" s="428" t="inlineStr">
        <is>
          <t>App update successful</t>
        </is>
      </c>
      <c r="C29" s="428" t="inlineStr">
        <is>
          <t>On HQ, ensure Version V6 is marked as "Released" on the Linked app's release page
1. Return to the homescreen on Commcare
2. Select options and update the linked app and let the process run through its entirety
3. Log back in and verify you're now on the version corresponding with version 6 of the linked app,ie, Version 22</t>
        </is>
      </c>
      <c r="D29" s="428" t="inlineStr">
        <is>
          <t>Should be successful</t>
        </is>
      </c>
      <c r="E29" s="428" t="n"/>
      <c r="F29" s="426" t="n"/>
      <c r="G29" s="429" t="inlineStr">
        <is>
          <t>Confirmed passing via real BrowserStack dispatch (2026-08-21) - same automatic release mechanism as Update 9/10 above (see G20), applied to the linked app's V6 build.</t>
        </is>
      </c>
      <c r="I29" s="0" t="inlineStr">
        <is>
          <t>Automatable</t>
        </is>
      </c>
      <c r="J29" s="672" t="inlineStr">
        <is>
          <t>Yes</t>
        </is>
      </c>
      <c r="K29" s="0" t="inlineStr">
        <is>
          <t>flows/updates_partial_failed/scenario_4_linked_app_install_and_update.yaml</t>
        </is>
      </c>
    </row>
    <row r="30">
      <c r="A30" s="421" t="inlineStr">
        <is>
          <t>Update 14</t>
        </is>
      </c>
      <c r="B30" s="428" t="inlineStr">
        <is>
          <t>Updated form verification</t>
        </is>
      </c>
      <c r="C30" s="428" t="inlineStr">
        <is>
          <t>1. Open Form A and see if it opens without errors 
2. Verify it contains Registration Date and Age questions</t>
        </is>
      </c>
      <c r="D30" s="428" t="inlineStr">
        <is>
          <t>Should be successful</t>
        </is>
      </c>
      <c r="E30" s="428" t="n"/>
      <c r="F30" s="428" t="n"/>
      <c r="G30" s="428" t="n"/>
      <c r="I30" s="0" t="inlineStr">
        <is>
          <t>Automatable</t>
        </is>
      </c>
      <c r="J30" s="672" t="inlineStr">
        <is>
          <t>Yes</t>
        </is>
      </c>
      <c r="K30" s="0" t="inlineStr">
        <is>
          <t>flows/updates_partial_failed/scenario_4_linked_app_install_and_update.yaml</t>
        </is>
      </c>
    </row>
    <row r="31">
      <c r="A31" s="421" t="inlineStr">
        <is>
          <t>Update 15</t>
        </is>
      </c>
      <c r="B31" s="428" t="inlineStr">
        <is>
          <t>Unchanged form verification</t>
        </is>
      </c>
      <c r="C31" s="431" t="inlineStr">
        <is>
          <t>Open Form B and see if it opens without errors and it contains a question asking to upload a picture</t>
        </is>
      </c>
      <c r="D31" s="428" t="inlineStr">
        <is>
          <t>Should be successful</t>
        </is>
      </c>
      <c r="E31" s="428" t="n"/>
      <c r="F31" s="428" t="n"/>
      <c r="G31" s="428" t="n"/>
      <c r="I31" s="0" t="inlineStr">
        <is>
          <t>Automatable</t>
        </is>
      </c>
      <c r="J31" s="672" t="inlineStr">
        <is>
          <t>Yes</t>
        </is>
      </c>
      <c r="K31" s="0" t="inlineStr">
        <is>
          <t>flows/updates_partial_failed/scenario_4_linked_app_install_and_update.yaml</t>
        </is>
      </c>
    </row>
    <row r="32">
      <c r="A32" s="413" t="inlineStr">
        <is>
          <t>Test Case ID: 5</t>
        </is>
      </c>
      <c r="B32" s="414" t="inlineStr">
        <is>
          <t>Summary</t>
        </is>
      </c>
      <c r="C32" s="414" t="inlineStr">
        <is>
          <t>Steps</t>
        </is>
      </c>
      <c r="D32" s="414" t="inlineStr">
        <is>
          <t>Expected Result</t>
        </is>
      </c>
      <c r="E32" s="414" t="inlineStr">
        <is>
          <t>Pass/Fail</t>
        </is>
      </c>
      <c r="F32" s="414" t="n"/>
      <c r="G32" s="414" t="inlineStr">
        <is>
          <t>Notes</t>
        </is>
      </c>
      <c r="I32" s="663" t="inlineStr">
        <is>
          <t>Maestro Automatability</t>
        </is>
      </c>
      <c r="J32" s="663" t="inlineStr">
        <is>
          <t>Automated?</t>
        </is>
      </c>
      <c r="K32" s="663" t="inlineStr">
        <is>
          <t>Flow File</t>
        </is>
      </c>
    </row>
    <row r="33">
      <c r="A33" s="421" t="inlineStr">
        <is>
          <t>Setup</t>
        </is>
      </c>
      <c r="B33" s="428" t="inlineStr">
        <is>
          <t>Installation and setup</t>
        </is>
      </c>
      <c r="C33" s="428" t="inlineStr">
        <is>
          <t xml:space="preserve">
Install old CommCare version - 2.45</t>
        </is>
      </c>
      <c r="D33" s="428" t="inlineStr">
        <is>
          <t>Should be successful</t>
        </is>
      </c>
      <c r="E33" s="428" t="n"/>
      <c r="F33" s="428" t="n"/>
      <c r="G33" s="428" t="inlineStr">
        <is>
          <t>Partial: installing the specific old CommCare 2.45 binary is a harness-level concern (run_suite.py's --release-tag/--apk resolves which APK to install for the whole dispatch), not something a Maestro flow file itself can express - resources/commcare_2.45_release.apk is the pinned old binary used for this scenario.</t>
        </is>
      </c>
      <c r="I33" s="0" t="inlineStr">
        <is>
          <t>Partial</t>
        </is>
      </c>
      <c r="J33" s="670" t="inlineStr">
        <is>
          <t>Yes</t>
        </is>
      </c>
      <c r="K33" s="0" t="inlineStr">
        <is>
          <t>(covered by run_suite.py --release-tag/--apk - installing a specific historical CommCare binary is harness-level, not a Maestro flow)</t>
        </is>
      </c>
    </row>
    <row r="34">
      <c r="A34" s="421" t="inlineStr">
        <is>
          <t>Installation 1</t>
        </is>
      </c>
      <c r="B34" s="428" t="inlineStr">
        <is>
          <t>App installation</t>
        </is>
      </c>
      <c r="C34" s="424" t="inlineStr">
        <is>
          <t>Install version V2(Version18) of the linked app from here</t>
        </is>
      </c>
      <c r="D34" s="428" t="inlineStr">
        <is>
          <t>Should be successful</t>
        </is>
      </c>
      <c r="E34" s="428" t="n"/>
      <c r="F34" s="428" t="n"/>
      <c r="G34" s="428" t="n"/>
      <c r="I34" s="0" t="inlineStr">
        <is>
          <t>Automatable</t>
        </is>
      </c>
      <c r="J34" s="672" t="inlineStr">
        <is>
          <t>Yes</t>
        </is>
      </c>
      <c r="K34" s="0" t="inlineStr">
        <is>
          <t>flows/updates_partial_failed/scenario_5_relogin_autoupdate_verification.yaml</t>
        </is>
      </c>
    </row>
    <row r="35">
      <c r="A35" s="421" t="inlineStr">
        <is>
          <t>Update 16</t>
        </is>
      </c>
      <c r="B35" s="428" t="inlineStr">
        <is>
          <t>Update Commcare</t>
        </is>
      </c>
      <c r="C35" s="428" t="inlineStr">
        <is>
          <t xml:space="preserve">1. On HQ, ensure version V6 is marked as Released
2. On the app, start the update check to version V6
3. Let the update check complete to the point when we get the  green “Update to version x” message -&gt; But do not click on the green button
4. At this point, update CommCare to the version in test </t>
        </is>
      </c>
      <c r="D35" s="428" t="inlineStr">
        <is>
          <t>Should be successful</t>
        </is>
      </c>
      <c r="E35" s="428" t="n"/>
      <c r="F35" s="428" t="n"/>
      <c r="G35" s="428" t="inlineStr">
        <is>
          <t>SUPERSEDED (2026-08-19+): mid-session CommCare BINARY install is now genuinely possible via BrowserStack's Appium-only midSessionInstallApps capability / `mobile: installApp` (confirmed live, not just from docs - both APKs share the same signing cert). scripts/appium_scenarios.py implements this exact precondition (interrupt CommCare's own progress dialog, then swap the binary mid-session) and has been verified passing against real BrowserStack sessions. Run via scripts/run_appium_suite.py.</t>
        </is>
      </c>
      <c r="I35" s="0" t="inlineStr">
        <is>
          <t>Automatable</t>
        </is>
      </c>
      <c r="J35" s="671" t="inlineStr">
        <is>
          <t>Yes</t>
        </is>
      </c>
      <c r="K35" s="0" t="inlineStr">
        <is>
          <t>scripts/appium_scenarios.py::run_scenario_5 (via scripts/run_appium_suite.py)</t>
        </is>
      </c>
    </row>
    <row r="36">
      <c r="A36" s="421" t="inlineStr">
        <is>
          <t>Update 17</t>
        </is>
      </c>
      <c r="B36" s="428" t="inlineStr">
        <is>
          <t>Login</t>
        </is>
      </c>
      <c r="C36" s="428" t="inlineStr">
        <is>
          <t>Login again on Commcare</t>
        </is>
      </c>
      <c r="D36" s="428" t="inlineStr">
        <is>
          <t>Should be successful</t>
        </is>
      </c>
      <c r="E36" s="428" t="n"/>
      <c r="F36" s="428" t="n"/>
      <c r="G36" s="428" t="n"/>
      <c r="I36" s="0" t="inlineStr">
        <is>
          <t>Automatable</t>
        </is>
      </c>
      <c r="J36" s="672" t="inlineStr">
        <is>
          <t>Yes</t>
        </is>
      </c>
      <c r="K36" s="0" t="inlineStr">
        <is>
          <t>flows/updates_partial_failed/scenario_5_relogin_autoupdate_verification.yaml</t>
        </is>
      </c>
    </row>
    <row r="37">
      <c r="A37" s="642" t="n"/>
      <c r="B37" s="428" t="inlineStr">
        <is>
          <t>Update verification</t>
        </is>
      </c>
      <c r="C37" s="428" t="inlineStr">
        <is>
          <t>Verify that app gets auto-updated to V6(Version 22)</t>
        </is>
      </c>
      <c r="D37" s="428" t="inlineStr">
        <is>
          <t>Should be successful</t>
        </is>
      </c>
      <c r="E37" s="428" t="n"/>
      <c r="F37" s="428" t="n"/>
      <c r="G37" s="428" t="n"/>
      <c r="I37" s="0" t="inlineStr">
        <is>
          <t>Automatable</t>
        </is>
      </c>
      <c r="J37" s="672" t="inlineStr">
        <is>
          <t>Yes</t>
        </is>
      </c>
      <c r="K37" s="0" t="inlineStr">
        <is>
          <t>flows/updates_partial_failed/scenario_5_relogin_autoupdate_verification.yaml</t>
        </is>
      </c>
    </row>
    <row r="38">
      <c r="A38" s="421" t="inlineStr">
        <is>
          <t>Update 18</t>
        </is>
      </c>
      <c r="B38" s="428" t="inlineStr">
        <is>
          <t>Updated form verification</t>
        </is>
      </c>
      <c r="C38" s="428" t="inlineStr">
        <is>
          <t>Open Form A and see if it opens without errors and it contains Registration Date and Age questions</t>
        </is>
      </c>
      <c r="D38" s="428" t="inlineStr">
        <is>
          <t>Should be successful</t>
        </is>
      </c>
      <c r="E38" s="428" t="n"/>
      <c r="F38" s="428" t="n"/>
      <c r="G38" s="428" t="n"/>
      <c r="I38" s="0" t="inlineStr">
        <is>
          <t>Automatable</t>
        </is>
      </c>
      <c r="J38" s="672" t="inlineStr">
        <is>
          <t>Yes</t>
        </is>
      </c>
      <c r="K38" s="0" t="inlineStr">
        <is>
          <t>flows/updates_partial_failed/scenario_5_relogin_autoupdate_verification.yaml</t>
        </is>
      </c>
    </row>
    <row r="39">
      <c r="A39" s="421" t="inlineStr">
        <is>
          <t>Update 19</t>
        </is>
      </c>
      <c r="B39" s="428" t="inlineStr">
        <is>
          <t>Unchanged form verification</t>
        </is>
      </c>
      <c r="C39" s="428" t="inlineStr">
        <is>
          <t>Open Form B and see if it opens without errors and it contains a question asking to upload a picture</t>
        </is>
      </c>
      <c r="D39" s="428" t="inlineStr">
        <is>
          <t>Should be successful</t>
        </is>
      </c>
      <c r="E39" s="428" t="n"/>
      <c r="F39" s="428" t="n"/>
      <c r="G39" s="428" t="n"/>
      <c r="I39" s="0" t="inlineStr">
        <is>
          <t>Automatable</t>
        </is>
      </c>
      <c r="J39" s="672" t="inlineStr">
        <is>
          <t>Yes</t>
        </is>
      </c>
      <c r="K39" s="0" t="inlineStr">
        <is>
          <t>flows/updates_partial_failed/scenario_5_relogin_autoupdate_verification.yaml</t>
        </is>
      </c>
    </row>
  </sheetData>
  <mergeCells count="4">
    <mergeCell ref="B3:G3"/>
    <mergeCell ref="B1:C1"/>
    <mergeCell ref="B4:C4"/>
    <mergeCell ref="A36:A37"/>
  </mergeCells>
  <conditionalFormatting sqref="E7:E10 E12:E16 E18:E23 E25:E31 E33:E39">
    <cfRule type="cellIs" priority="1" operator="equal" dxfId="0">
      <formula>"Pass"</formula>
    </cfRule>
    <cfRule type="cellIs" priority="2" operator="equal" dxfId="1">
      <formula>"Fail"</formula>
    </cfRule>
    <cfRule type="cellIs" priority="3" operator="equal" dxfId="2">
      <formula>"N/A"</formula>
    </cfRule>
    <cfRule type="cellIs" priority="4" operator="equal" dxfId="3">
      <formula>"Blocking"</formula>
    </cfRule>
  </conditionalFormatting>
  <dataValidations count="1">
    <dataValidation sqref="E7:E10 E12:E16 E18:E23 E25:E31 E33:E39" showDropDown="0" showInputMessage="0" showErrorMessage="1" allowBlank="1" type="list">
      <formula1>"Pass,Fail,N/A,Blocking"</formula1>
    </dataValidation>
  </dataValidations>
  <hyperlinks>
    <hyperlink xmlns:r="http://schemas.openxmlformats.org/officeDocument/2006/relationships" ref="B1" r:id="rId1"/>
    <hyperlink xmlns:r="http://schemas.openxmlformats.org/officeDocument/2006/relationships" ref="D1" r:id="rId2"/>
    <hyperlink xmlns:r="http://schemas.openxmlformats.org/officeDocument/2006/relationships" ref="B4" r:id="rId3"/>
    <hyperlink xmlns:r="http://schemas.openxmlformats.org/officeDocument/2006/relationships" ref="C7" r:id="rId4"/>
    <hyperlink xmlns:r="http://schemas.openxmlformats.org/officeDocument/2006/relationships" ref="C12" r:id="rId5"/>
    <hyperlink xmlns:r="http://schemas.openxmlformats.org/officeDocument/2006/relationships" ref="C18" r:id="rId6"/>
    <hyperlink xmlns:r="http://schemas.openxmlformats.org/officeDocument/2006/relationships" ref="C34" r:id="rId7"/>
  </hyperlink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0" summaryRight="0"/>
    <pageSetUpPr/>
  </sheetPr>
  <dimension ref="A1:J68"/>
  <sheetViews>
    <sheetView workbookViewId="0">
      <selection activeCell="A1" sqref="A1"/>
    </sheetView>
  </sheetViews>
  <sheetFormatPr baseColWidth="8" defaultColWidth="17.29" defaultRowHeight="15" customHeight="1"/>
  <cols>
    <col width="20.86" customWidth="1" style="629" min="1" max="1"/>
    <col width="30" customWidth="1" style="629" min="2" max="2"/>
    <col width="61" customWidth="1" style="629" min="3" max="3"/>
    <col width="22" customWidth="1" style="629" min="8" max="8"/>
    <col width="22" customWidth="1" style="629" min="9" max="9"/>
    <col width="22" customWidth="1" style="629" min="10" max="10"/>
  </cols>
  <sheetData>
    <row r="1">
      <c r="A1" s="470" t="inlineStr">
        <is>
          <t>Test Area:</t>
        </is>
      </c>
      <c r="B1" s="487" t="inlineStr">
        <is>
          <t>Recovery Measures</t>
        </is>
      </c>
      <c r="C1" s="399" t="inlineStr">
        <is>
          <t>Note:</t>
        </is>
      </c>
      <c r="D1" s="410" t="n"/>
      <c r="E1" s="410" t="n"/>
      <c r="F1" s="410" t="n"/>
    </row>
    <row r="2">
      <c r="A2" s="470" t="inlineStr">
        <is>
          <t>Summary:</t>
        </is>
      </c>
      <c r="B2" s="487" t="inlineStr">
        <is>
          <t>Test forcing updates of app in various methods</t>
        </is>
      </c>
      <c r="C2" s="399" t="inlineStr">
        <is>
          <t>Dimagi must reconfigure setup here prior to each run. To do so:
1. Revert to test one
2. Update CommCare to the version in Test (2.XX)
3. Make a new build
4. This will become the new Test One
5. Repeat process for version two and version three
6. Delete all old builds to reduce clutter
7. Access each specific mobile recovery page
8. Update the Min App Version to be one higher than the lowest version number
9. Update the Max App Version to be one lower than the highest version number</t>
        </is>
      </c>
      <c r="D2" s="410" t="n"/>
      <c r="E2" s="410" t="n"/>
      <c r="F2" s="410" t="n"/>
    </row>
    <row r="3">
      <c r="A3" s="470" t="inlineStr">
        <is>
          <t>Domain:</t>
        </is>
      </c>
      <c r="B3" s="432" t="inlineStr">
        <is>
          <t>https://www.commcarehq.org/a/qateam/dashboard/project/</t>
        </is>
      </c>
      <c r="C3" s="398">
        <f>HYPERLINK("https://www.commcarehq.org/admin/ota/mobilerecoverymeasure/","Link to mobile recovery measure to change page")</f>
        <v/>
      </c>
      <c r="D3" s="410" t="n"/>
      <c r="E3" s="410" t="n"/>
      <c r="F3" s="410" t="n"/>
    </row>
    <row r="4">
      <c r="A4" s="470" t="inlineStr">
        <is>
          <t xml:space="preserve">Application: </t>
        </is>
      </c>
      <c r="B4" s="487" t="inlineStr">
        <is>
          <t>Various. linked in relevant cells</t>
        </is>
      </c>
      <c r="C4" s="399" t="n"/>
      <c r="D4" s="410" t="n"/>
      <c r="E4" s="410" t="n"/>
      <c r="F4" s="410" t="n"/>
    </row>
    <row r="5">
      <c r="A5" s="410" t="n"/>
      <c r="B5" s="410" t="n"/>
      <c r="C5" s="399" t="n"/>
      <c r="D5" s="410" t="n"/>
      <c r="E5" s="410" t="n"/>
      <c r="F5" s="410" t="n"/>
    </row>
    <row r="6">
      <c r="A6" s="436" t="inlineStr">
        <is>
          <t>Recovery: Reinstall and Update App
(linked)</t>
        </is>
      </c>
      <c r="C6" s="437">
        <f>HYPERLINK("https://www.commcarehq.org/admin/ota/mobilerecoverymeasure/9/change/","Specific mobile recovery page")</f>
        <v/>
      </c>
      <c r="D6" s="399" t="n"/>
      <c r="E6" s="438" t="n"/>
      <c r="F6" s="410" t="n"/>
    </row>
    <row r="7">
      <c r="A7" s="470" t="inlineStr">
        <is>
          <t>Test Case ID</t>
        </is>
      </c>
      <c r="B7" s="470" t="inlineStr">
        <is>
          <t>Summary</t>
        </is>
      </c>
      <c r="C7" s="470" t="inlineStr">
        <is>
          <t>Steps</t>
        </is>
      </c>
      <c r="D7" s="441" t="inlineStr">
        <is>
          <t>Pass/Fail</t>
        </is>
      </c>
      <c r="E7" s="470" t="inlineStr">
        <is>
          <t>Notes</t>
        </is>
      </c>
      <c r="F7" s="470" t="inlineStr">
        <is>
          <t>Ticket ID</t>
        </is>
      </c>
      <c r="H7" s="663" t="inlineStr">
        <is>
          <t>Maestro Automatability</t>
        </is>
      </c>
      <c r="I7" s="663" t="inlineStr">
        <is>
          <t>Automated?</t>
        </is>
      </c>
      <c r="J7" s="663" t="inlineStr">
        <is>
          <t>Flow File</t>
        </is>
      </c>
    </row>
    <row r="8">
      <c r="A8" s="487" t="inlineStr">
        <is>
          <t>Setup 1</t>
        </is>
      </c>
      <c r="B8" s="487" t="inlineStr">
        <is>
          <t>Download App</t>
        </is>
      </c>
      <c r="C8" s="440">
        <f>HYPERLINK("https://www.commcarehq.org/a/qateam/apps/view/c49c34a1d74297ecb6ecef7a7c5d3f88/releases/","1. Uninstall CommCare
2. Download the latest CommCare build (version in test)
3. Access Recovery: Reinstall and Update App
4. Deploy test one of the app to mobile
5. Login to the app (test1/123)")</f>
        <v/>
      </c>
      <c r="D8" s="487" t="n"/>
      <c r="E8" s="487" t="inlineStr">
        <is>
          <t>UPDATE (2026-08-27): corrected - was pointing at update_app_01/02.yaml, a DIFFERENT app's files entirely (those belong to the 'Recovery: Update App' section, row 20 below, not this 'Recovery: Reinstall and Update App' section) - a stale copy-paste error, not a real reference. The real setup this row describes (install Test One, login) is already the first two steps of reinstall_update_01_no_trigger_on_one.yaml (row 9's own file), so no separate setup-only file is needed.</t>
        </is>
      </c>
      <c r="F8" s="445" t="n"/>
      <c r="H8" s="0" t="inlineStr">
        <is>
          <t>Automatable</t>
        </is>
      </c>
      <c r="I8" s="672" t="inlineStr">
        <is>
          <t>Yes</t>
        </is>
      </c>
      <c r="J8" s="0" t="inlineStr">
        <is>
          <t>flows/recovery_measures/reinstall_update_01_no_trigger_on_one.yaml</t>
        </is>
      </c>
    </row>
    <row r="9">
      <c r="A9" s="445" t="inlineStr">
        <is>
          <t>Reinstall and update 1</t>
        </is>
      </c>
      <c r="B9" s="445" t="inlineStr">
        <is>
          <t>Pre-update</t>
        </is>
      </c>
      <c r="C9" s="487" t="inlineStr">
        <is>
          <t>1. Sync upon login
2. Access and submit the only form in the app
3. Sync once more
4. Verify that you are not asked nor mandated to update the app at any point</t>
        </is>
      </c>
      <c r="D9" s="487" t="n"/>
      <c r="E9" s="445" t="inlineStr">
        <is>
          <t>File split 2026-08-10 (was reinstall_update_app_flow.yaml). Confirmed passing.</t>
        </is>
      </c>
      <c r="F9" s="445" t="n"/>
      <c r="H9" s="0" t="inlineStr">
        <is>
          <t>Automatable</t>
        </is>
      </c>
      <c r="I9" s="672" t="inlineStr">
        <is>
          <t>Yes</t>
        </is>
      </c>
      <c r="J9" s="0" t="inlineStr">
        <is>
          <t>flows/recovery_measures/reinstall_update_01_no_trigger_on_one.yaml</t>
        </is>
      </c>
    </row>
    <row r="10">
      <c r="A10" s="445" t="inlineStr">
        <is>
          <t>Reinstall and update 2</t>
        </is>
      </c>
      <c r="B10" s="445" t="inlineStr">
        <is>
          <t>Set to released 1</t>
        </is>
      </c>
      <c r="C10" s="440">
        <f>HYPERLINK("https://www.commcarehq.org/a/qateam/apps/view/c49c34a1d74297ecb6ecef7a7c5d3f88/releases/","1. Access Recovery: Reinstall and Update App on CommCareHQ (linked)
2. Ensure Test Two is marked as released and test three is in test")</f>
        <v/>
      </c>
      <c r="D10" s="487" t="n"/>
      <c r="E10" s="445" t="inlineStr">
        <is>
          <t>The hq_setup JSON referenced here is a legacy manual-provisioning stub - releasing this build is now automatic (scripts/hq_client.py's resolve_app_codes() releases whatever install code a flow references, no manual HQ step needed).</t>
        </is>
      </c>
      <c r="F10" s="445" t="n"/>
      <c r="H10" s="0" t="inlineStr">
        <is>
          <t>Partial</t>
        </is>
      </c>
      <c r="I10" s="672" t="inlineStr">
        <is>
          <t>Yes</t>
        </is>
      </c>
      <c r="J10" s="0" t="inlineStr">
        <is>
          <t>(automatic - see reinstall_update_03_update_to_test_two.yaml's APP_CODE_RU_TEST_TWO reference)</t>
        </is>
      </c>
    </row>
    <row r="11">
      <c r="A11" s="445" t="inlineStr">
        <is>
          <t>Reinstall and update 3</t>
        </is>
      </c>
      <c r="B11" s="445" t="inlineStr">
        <is>
          <t>Test one to test two</t>
        </is>
      </c>
      <c r="C11" s="487" t="inlineStr">
        <is>
          <t>1. Return to mobile and access the home screen of the app
2. Update CommCare to the version corresponding with test two</t>
        </is>
      </c>
      <c r="D11" s="487" t="n"/>
      <c r="E11" s="445" t="inlineStr">
        <is>
          <t>Tagged recovery_phase1 - must run with Test Three unreleased (hq_setup/recovery_measures/phase1_unrelease_test_three.json), else CommCareHQ's update-check jumps straight to Test Three, skipping Two (confirmed live). Confirmed passing 2026-08-10 with corrected EXPECTED_VERSION=160 (the real HQ build number - the sheet's own 'Version 2' narrative number doesn't match what's actually shown on-device).</t>
        </is>
      </c>
      <c r="F11" s="445" t="n"/>
      <c r="H11" s="0" t="inlineStr">
        <is>
          <t>Automatable</t>
        </is>
      </c>
      <c r="I11" s="672" t="inlineStr">
        <is>
          <t>Yes</t>
        </is>
      </c>
      <c r="J11" s="0" t="inlineStr">
        <is>
          <t>flows/recovery_measures/reinstall_update_03_update_to_test_two.yaml</t>
        </is>
      </c>
    </row>
    <row r="12">
      <c r="A12" s="445" t="inlineStr">
        <is>
          <t>Reinstall and update 4</t>
        </is>
      </c>
      <c r="B12" s="445" t="inlineStr">
        <is>
          <t>Set to released 2</t>
        </is>
      </c>
      <c r="C12" s="440">
        <f>HYPERLINK("https://www.commcarehq.org/a/qateam/apps/view/c49c34a1d74297ecb6ecef7a7c5d3f88/releases/","1. After the update is complete, return to Recovery: Reinstall and Update App on CommCareHQ (linked)
2. Mark Test Three as released")</f>
        <v/>
      </c>
      <c r="D12" s="487" t="n"/>
      <c r="E12" s="445" t="inlineStr">
        <is>
          <t>UPDATE (2026-08-27): corrected - was pointing at update_app_02_forced_two_to_three.yaml, a DIFFERENT app's file entirely (belongs to the 'Recovery: Update App' section, row 20 below, not this section) - a stale copy-paste error. The hq_setup JSON referenced here is a legacy manual-provisioning stub - releasing this build is now automatic (scripts/hq_client.py's resolve_app_codes() releases whatever install code a flow references), same as row 10's own note, just for Test Three instead of Test Two.</t>
        </is>
      </c>
      <c r="F12" s="445" t="n"/>
      <c r="H12" s="0" t="inlineStr">
        <is>
          <t>Partial</t>
        </is>
      </c>
      <c r="I12" s="672" t="inlineStr">
        <is>
          <t>Yes</t>
        </is>
      </c>
      <c r="J12" s="0" t="inlineStr">
        <is>
          <t>(automatic - see reinstall_update_07_10_online_install_and_negative.yaml's APP_CODE_RU_TEST_THREE reference)</t>
        </is>
      </c>
    </row>
    <row r="13">
      <c r="A13" s="445" t="inlineStr">
        <is>
          <t>Reinstall and update 5</t>
        </is>
      </c>
      <c r="B13" s="445" t="inlineStr">
        <is>
          <t>CC Reinstall needed, ccz</t>
        </is>
      </c>
      <c r="C13" s="487" t="inlineStr">
        <is>
          <t>1. Access mobile once again
2. Log into the version corresponding with Test Two of the app
3. Sync and attempt to submit the only form in the app
4. Verify that either upon sync or upon form submission or logout &amp; re-login a message appears stating:
Your app needs to be reinstalled due to a problem, please select a method for reinstalling. 
5. Ensure two options appear:
"Reinstall Using CCZ" and "Online Reinstall"</t>
        </is>
      </c>
      <c r="D13" s="487" t="n"/>
      <c r="E13" s="445" t="inlineStr">
        <is>
          <t>File split 2026-08-10 (was reinstall_update_app_flow.yaml).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13" s="445" t="n"/>
      <c r="H13" s="0" t="inlineStr">
        <is>
          <t>Automatable</t>
        </is>
      </c>
      <c r="I13" s="672" t="inlineStr">
        <is>
          <t>Yes</t>
        </is>
      </c>
      <c r="J13" s="0" t="inlineStr">
        <is>
          <t>scripts/run_appium_offline_ccz_suite.py --scenario reinstall_05_06 (shown in BrowserStack/report.html as "reinstall_update_05_06_chooser_and_ccz", same name as the superseded .yaml) (reinstall_update_05_06_chooser_and_ccz.yaml itself SUPERSEDED)</t>
        </is>
      </c>
    </row>
    <row r="14">
      <c r="A14" s="445" t="inlineStr">
        <is>
          <t>Reinstall and update 6</t>
        </is>
      </c>
      <c r="B14" s="445" t="inlineStr">
        <is>
          <t>CCZ install</t>
        </is>
      </c>
      <c r="C14" s="487" t="inlineStr">
        <is>
          <t>1. Select Reinstall Using CCZ
2. Verify that the you can reinstall the app using a ccz
3. Ensure that upon update, you're automatically logged out</t>
        </is>
      </c>
      <c r="D14" s="487" t="n"/>
      <c r="E14" s="445" t="inlineStr">
        <is>
          <t>Same file/gap as 'Reinstall and update 5' above.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14" s="445" t="n"/>
      <c r="H14" s="0" t="inlineStr">
        <is>
          <t>Automatable</t>
        </is>
      </c>
      <c r="I14" s="672" t="inlineStr">
        <is>
          <t>Yes</t>
        </is>
      </c>
      <c r="J14" s="0" t="inlineStr">
        <is>
          <t>scripts/run_appium_offline_ccz_suite.py --scenario reinstall_05_06 (shown in BrowserStack/report.html as "reinstall_update_05_06_chooser_and_ccz", same name as the superseded .yaml) (reinstall_update_05_06_chooser_and_ccz.yaml itself SUPERSEDED)</t>
        </is>
      </c>
    </row>
    <row r="15">
      <c r="A15" s="445" t="inlineStr">
        <is>
          <t>Reinstall and update 7</t>
        </is>
      </c>
      <c r="B15" s="445" t="inlineStr">
        <is>
          <t>Reset with test two</t>
        </is>
      </c>
      <c r="C15" s="445" t="inlineStr">
        <is>
          <t>1. Begin logged out and on the login screen
2. Select options and access the App Manager
3. Uninstall the app
2. Deploy the version corresponding with Test Two of the app to mobile
3. Login to the app (test1/123)</t>
        </is>
      </c>
      <c r="D15" s="487" t="n"/>
      <c r="E15" s="445" t="inlineStr">
        <is>
          <t>UPDATE (2026-08-26): FIXED and confirmed passing live (real BrowserStack evidence, build 63157ac2...). Root cause was a non-deterministic HQ release-state race (a different, concurrent BrowserStack build's own setup/teardown could transiently un-release the build this flow needs 'released' to look stale) - fixed with a bounded logout+login retry loop, same pattern already proven for offline_09_uninstall_reinstall_test_two.yaml. No longer blocked by the preamble failure this note used to describe.</t>
        </is>
      </c>
      <c r="F15" s="445" t="n"/>
      <c r="H15" s="0" t="inlineStr">
        <is>
          <t>Automatable</t>
        </is>
      </c>
      <c r="I15" s="672" t="inlineStr">
        <is>
          <t>Yes</t>
        </is>
      </c>
      <c r="J15" s="0" t="inlineStr">
        <is>
          <t>flows/recovery_measures/reinstall_update_07_10_online_install_and_negative.yaml</t>
        </is>
      </c>
    </row>
    <row r="16">
      <c r="A16" s="445" t="inlineStr">
        <is>
          <t>Reinstall and update 8</t>
        </is>
      </c>
      <c r="B16" s="445" t="inlineStr">
        <is>
          <t>Trigger recovery</t>
        </is>
      </c>
      <c r="C16" s="487" t="inlineStr">
        <is>
          <t>1. Verify that either upon login, sync or upon form submission or logout &amp; re-login a message appears stating:
Your app needs to be reinstalled due to a problem, please select a method for reinstalling. 
2. Ensure two options appear:
"Reinstall Using CCZ" and "Online Reinstall"</t>
        </is>
      </c>
      <c r="D16" s="487" t="n"/>
      <c r="E16" s="445" t="inlineStr">
        <is>
          <t>UPDATE (2026-08-26): FIXED and confirmed passing live (real BrowserStack evidence, build 63157ac2...). Root cause was a non-deterministic HQ release-state race (a different, concurrent BrowserStack build's own setup/teardown could transiently un-release the build this flow needs 'released' to look stale) - fixed with a bounded logout+login retry loop, same pattern already proven for offline_09_uninstall_reinstall_test_two.yaml. No longer blocked by the preamble failure this note used to describe.</t>
        </is>
      </c>
      <c r="F16" s="445" t="n"/>
      <c r="H16" s="0" t="inlineStr">
        <is>
          <t>Automatable</t>
        </is>
      </c>
      <c r="I16" s="672" t="inlineStr">
        <is>
          <t>Yes</t>
        </is>
      </c>
      <c r="J16" s="0" t="inlineStr">
        <is>
          <t>flows/recovery_measures/reinstall_update_07_10_online_install_and_negative.yaml</t>
        </is>
      </c>
    </row>
    <row r="17">
      <c r="A17" s="445" t="inlineStr">
        <is>
          <t>Reinstall and update 9</t>
        </is>
      </c>
      <c r="B17" s="445" t="inlineStr">
        <is>
          <t>Online Install</t>
        </is>
      </c>
      <c r="C17" s="487" t="inlineStr">
        <is>
          <t>1. Select Online Install
2. Verify the app loads the newest version
3. Ensure you're automatically logged out
4. Select options and About CommCare
5. Verify you're successfully on the version corresponding with Test Three</t>
        </is>
      </c>
      <c r="D17" s="487" t="n"/>
      <c r="E17" s="445" t="inlineStr">
        <is>
          <t>UPDATE (2026-08-26): FIXED and confirmed passing live (real BrowserStack evidence, build 63157ac2...). Root cause was a non-deterministic HQ release-state race (a different, concurrent BrowserStack build's own setup/teardown could transiently un-release the build this flow needs 'released' to look stale) - fixed with a bounded logout+login retry loop, same pattern already proven for offline_09_uninstall_reinstall_test_two.yaml. No longer blocked by the preamble failure this note used to describe.</t>
        </is>
      </c>
      <c r="F17" s="445" t="n"/>
      <c r="H17" s="0" t="inlineStr">
        <is>
          <t>Automatable</t>
        </is>
      </c>
      <c r="I17" s="672" t="inlineStr">
        <is>
          <t>Yes</t>
        </is>
      </c>
      <c r="J17" s="0" t="inlineStr">
        <is>
          <t>flows/recovery_measures/reinstall_update_07_10_online_install_and_negative.yaml</t>
        </is>
      </c>
    </row>
    <row r="18">
      <c r="A18" s="445" t="inlineStr">
        <is>
          <t>Reinstall and update 10</t>
        </is>
      </c>
      <c r="B18" s="445" t="inlineStr">
        <is>
          <t>Negative test</t>
        </is>
      </c>
      <c r="C18" s="487" t="inlineStr">
        <is>
          <t>1. Remaining on the Test Three version, login with (test1/123)
2. Submit the only form on the app
3. Sync
4. Ensure you're not forced to update</t>
        </is>
      </c>
      <c r="D18" s="487" t="n"/>
      <c r="E18" s="445" t="inlineStr">
        <is>
          <t>UPDATE (2026-08-26): FIXED and confirmed passing live (real BrowserStack evidence, build 63157ac2...). Root cause was a non-deterministic HQ release-state race (a different, concurrent BrowserStack build's own setup/teardown could transiently un-release the build this flow needs 'released' to look stale) - fixed with a bounded logout+login retry loop, same pattern already proven for offline_09_uninstall_reinstall_test_two.yaml. No longer blocked by the preamble failure this note used to describe.</t>
        </is>
      </c>
      <c r="F18" s="445" t="n"/>
      <c r="H18" s="0" t="inlineStr">
        <is>
          <t>Automatable</t>
        </is>
      </c>
      <c r="I18" s="672" t="inlineStr">
        <is>
          <t>Yes</t>
        </is>
      </c>
      <c r="J18" s="0" t="inlineStr">
        <is>
          <t>flows/recovery_measures/reinstall_update_07_10_online_install_and_negative.yaml</t>
        </is>
      </c>
    </row>
    <row r="19">
      <c r="A19" s="460" t="n"/>
      <c r="B19" s="460" t="n"/>
      <c r="C19" s="460" t="n"/>
      <c r="D19" s="447" t="n"/>
      <c r="E19" s="460" t="n"/>
      <c r="F19" s="445" t="n"/>
    </row>
    <row r="20">
      <c r="A20" s="698">
        <f>HYPERLINK("https://www.commcarehq.org/a/qateam/apps/view/9d63118c3eda4e56bebfb52762804d53/","Recovery: Update App
Linked")</f>
        <v/>
      </c>
      <c r="B20" s="638" t="n"/>
      <c r="C20" s="453">
        <f>HYPERLINK("https://www.commcarehq.org/admin/ota/mobilerecoverymeasure/10/change/","Specific mobile recovery page")</f>
        <v/>
      </c>
      <c r="D20" s="487" t="n"/>
      <c r="E20" s="460" t="n"/>
      <c r="F20" s="445" t="n"/>
    </row>
    <row r="21">
      <c r="A21" s="470" t="inlineStr">
        <is>
          <t>Test Case ID</t>
        </is>
      </c>
      <c r="B21" s="470" t="inlineStr">
        <is>
          <t>Summary</t>
        </is>
      </c>
      <c r="C21" s="470" t="inlineStr">
        <is>
          <t>Steps</t>
        </is>
      </c>
      <c r="D21" s="441" t="inlineStr">
        <is>
          <t>Pass/Fail</t>
        </is>
      </c>
      <c r="E21" s="470" t="inlineStr">
        <is>
          <t>Notes</t>
        </is>
      </c>
      <c r="F21" s="470" t="n"/>
      <c r="H21" s="663" t="inlineStr">
        <is>
          <t>Maestro Automatability</t>
        </is>
      </c>
      <c r="I21" s="663" t="inlineStr">
        <is>
          <t>Automated?</t>
        </is>
      </c>
      <c r="J21" s="663" t="inlineStr">
        <is>
          <t>Flow File</t>
        </is>
      </c>
    </row>
    <row r="22">
      <c r="A22" s="445" t="inlineStr">
        <is>
          <t>Setup 1</t>
        </is>
      </c>
      <c r="B22" s="445" t="inlineStr">
        <is>
          <t>Download</t>
        </is>
      </c>
      <c r="C22" s="487" t="inlineStr">
        <is>
          <t>1. Uninstall CommCare
2. Download the latest CommCare build (version in test)
3. Access Recovery: Update App
4. Deploy test one of the app to mobile
5. Login to the app (test1/123)</t>
        </is>
      </c>
      <c r="D22" s="487" t="n"/>
      <c r="E22" s="445" t="inlineStr">
        <is>
          <t>UPDATE (2026-08-27): app corrected - was APP_CODE_RU_TEST_ONE ('Recovery: Reinstall and Update App', the wrong app - belongs to a DIFFERENT section per A6's own link), now APP_CODE_UPDATE_APP_ONE ('Recovery: Update App', 9d63118c3eda4e56bebfb52762804d53 - this section's own real app per C20's hyperlink, per direct user-supplied link). release_first=False on all 3 pinned builds (v84/v93/v105) since v84's own mark_build_status call hit a real HQ platform migration error ('mobile UCR restore version needs V2.0') - see app_registry.py's UPDATE_APP_ONE/TWO/THREE entries. Confirmed passing live (build a4ba3c29...).</t>
        </is>
      </c>
      <c r="F22" s="445" t="n"/>
      <c r="H22" s="0" t="inlineStr">
        <is>
          <t>Automatable</t>
        </is>
      </c>
      <c r="I22" s="672" t="inlineStr">
        <is>
          <t>Yes</t>
        </is>
      </c>
      <c r="J22" s="0" t="inlineStr">
        <is>
          <t>flows/recovery_measures/update_app_01_normal_update_to_two.yaml</t>
        </is>
      </c>
    </row>
    <row r="23">
      <c r="A23" s="445" t="inlineStr">
        <is>
          <t>Update 1</t>
        </is>
      </c>
      <c r="B23" s="445" t="inlineStr">
        <is>
          <t>Negative 1</t>
        </is>
      </c>
      <c r="C23" s="487" t="inlineStr">
        <is>
          <t>1. Sync upon login
2. Access and submit the only form in the app
3. Sync once more
4. Verify that you are not asked nor mandated to update the app at any point</t>
        </is>
      </c>
      <c r="D23" s="487" t="n"/>
      <c r="E23" s="445" t="inlineStr">
        <is>
          <t>UPDATE (2026-08-27): app corrected - was APP_CODE_RU_TEST_ONE ('Recovery: Reinstall and Update App', the wrong app - belongs to a DIFFERENT section per A6's own link), now APP_CODE_UPDATE_APP_ONE ('Recovery: Update App', 9d63118c3eda4e56bebfb52762804d53 - this section's own real app per C20's hyperlink, per direct user-supplied link). release_first=False on all 3 pinned builds (v84/v93/v105) since v84's own mark_build_status call hit a real HQ platform migration error ('mobile UCR restore version needs V2.0') - see app_registry.py's UPDATE_APP_ONE/TWO/THREE entries. Confirmed passing live (build a4ba3c29...).</t>
        </is>
      </c>
      <c r="F23" s="445" t="n"/>
      <c r="H23" s="0" t="inlineStr">
        <is>
          <t>Automatable</t>
        </is>
      </c>
      <c r="I23" s="672" t="inlineStr">
        <is>
          <t>Yes</t>
        </is>
      </c>
      <c r="J23" s="0" t="inlineStr">
        <is>
          <t>flows/recovery_measures/update_app_01_normal_update_to_two.yaml</t>
        </is>
      </c>
    </row>
    <row r="24">
      <c r="A24" s="445" t="inlineStr">
        <is>
          <t>Update 2</t>
        </is>
      </c>
      <c r="B24" s="445" t="inlineStr">
        <is>
          <t>Setup 1</t>
        </is>
      </c>
      <c r="C24" s="440">
        <f>HYPERLINK("https://www.commcarehq.org/a/qateam/apps/view/9d63118c3eda4e56bebfb52762804d53/releases/","1. Access Recovery: Update App on CommCareHQ (linked)
2. Ensure Test Two is marked as released and Test Three is in test")</f>
        <v/>
      </c>
      <c r="D24" s="487" t="n"/>
      <c r="E24" s="445" t="inlineStr">
        <is>
          <t>UPDATE (2026-08-27): app corrected - was APP_CODE_RU_TEST_ONE ('Recovery: Reinstall and Update App', the wrong app - belongs to a DIFFERENT section per A6's own link), now APP_CODE_UPDATE_APP_ONE ('Recovery: Update App', 9d63118c3eda4e56bebfb52762804d53 - this section's own real app per C20's hyperlink, per direct user-supplied link). release_first=False on all 3 pinned builds (v84/v93/v105) since v84's own mark_build_status call hit a real HQ platform migration error ('mobile UCR restore version needs V2.0') - see app_registry.py's UPDATE_APP_ONE/TWO/THREE entries. Confirmed passing live (build a4ba3c29...).</t>
        </is>
      </c>
      <c r="F24" s="445" t="n"/>
      <c r="H24" s="0" t="inlineStr">
        <is>
          <t>Automatable</t>
        </is>
      </c>
      <c r="I24" s="672" t="inlineStr">
        <is>
          <t>Yes</t>
        </is>
      </c>
      <c r="J24" s="0" t="inlineStr">
        <is>
          <t>flows/recovery_measures/update_app_01_normal_update_to_two.yaml</t>
        </is>
      </c>
    </row>
    <row r="25">
      <c r="A25" s="445" t="inlineStr">
        <is>
          <t>Update 3</t>
        </is>
      </c>
      <c r="B25" s="445" t="inlineStr">
        <is>
          <t>Update 1</t>
        </is>
      </c>
      <c r="C25" s="487" t="inlineStr">
        <is>
          <t>1. Return to mobile and access the home screen of the app
2. Update CommCare to the version corresponding with Test Two</t>
        </is>
      </c>
      <c r="D25" s="487" t="n"/>
      <c r="E25" s="445" t="inlineStr">
        <is>
          <t>UPDATE (2026-08-27): app corrected - was APP_CODE_RU_TEST_ONE ('Recovery: Reinstall and Update App', the wrong app - belongs to a DIFFERENT section per A6's own link), now APP_CODE_UPDATE_APP_ONE ('Recovery: Update App', 9d63118c3eda4e56bebfb52762804d53 - this section's own real app per C20's hyperlink, per direct user-supplied link). release_first=False on all 3 pinned builds (v84/v93/v105) since v84's own mark_build_status call hit a real HQ platform migration error ('mobile UCR restore version needs V2.0') - see app_registry.py's UPDATE_APP_ONE/TWO/THREE entries. Confirmed passing live (build a4ba3c29...).</t>
        </is>
      </c>
      <c r="F25" s="445" t="n"/>
      <c r="H25" s="0" t="inlineStr">
        <is>
          <t>Automatable</t>
        </is>
      </c>
      <c r="I25" s="672" t="inlineStr">
        <is>
          <t>Yes</t>
        </is>
      </c>
      <c r="J25" s="0" t="inlineStr">
        <is>
          <t>flows/recovery_measures/update_app_01_normal_update_to_two.yaml</t>
        </is>
      </c>
    </row>
    <row r="26">
      <c r="A26" s="445" t="inlineStr">
        <is>
          <t>Update 4</t>
        </is>
      </c>
      <c r="B26" s="445" t="inlineStr">
        <is>
          <t>Setup 2</t>
        </is>
      </c>
      <c r="C26" s="440">
        <f>HYPERLINK("https://www.commcarehq.org/a/qateam/apps/view/9d63118c3eda4e56bebfb52762804d53/releases/","1. After the update is complete, return to Recovery: Update App on CommCareHQ (linked)
2. Mark Test Three as released")</f>
        <v/>
      </c>
      <c r="D26" s="487" t="n"/>
      <c r="E26" s="445" t="inlineStr">
        <is>
          <t>UPDATE (2026-08-27): FIXED and confirmed passing live end-to-end (real BrowserStack evidence, build 3ef6da12...). Root cause: this app's Django MobileRecoveryMeasure (id 10) is genuinely MEASURE_TYPE_APP_UPDATE with app_version_min/max=85/104 (device app version gate, not a CommCare-client gate) - confirmed against real commcare-android source (ExecuteRecoveryMeasuresPresenter.executeMeasure()). The forced-update screen genuinely appears but flashes for only ~2 seconds (confirmed via real user video) - a plain assertVisible (and even extendedWaitUntil, since the flash happens DURING login.yaml's own internal sync-dialog wait, before control returns) both missed it; fixed by inlining the login tap for this specific step so the wait for the forced-update text starts immediately, then dropped that fragile flash-text assertion in favor of the stable, reliable signal - reaching the login screen again (auto-logout) - per direct user instruction. Also fixed along the way: flows/common/login.yaml's password-field self-verify was structurally unable to ever confirm success (checks masked-field text, always unreadable) - real evidence showed the field could be genuinely empty at tap time despite the check reporting success; fixed by retrying on the app's own real 'Empty Password' validation error instead (a signal confirmed reliable via commcare-android's LoginActivity.doLogin() source) - a fix that benefits every flow that logs in, not just this one. Now includes the real Update 5/6 steps: re-login, About CommCare version check, form submission, sync, and final negative check.</t>
        </is>
      </c>
      <c r="F26" s="445" t="n"/>
      <c r="H26" s="0" t="inlineStr">
        <is>
          <t>Automatable</t>
        </is>
      </c>
      <c r="I26" s="672" t="inlineStr">
        <is>
          <t>Yes</t>
        </is>
      </c>
      <c r="J26" s="0" t="inlineStr">
        <is>
          <t>flows/recovery_measures/update_app_02_forced_two_to_three.yaml</t>
        </is>
      </c>
    </row>
    <row r="27">
      <c r="A27" s="445" t="inlineStr">
        <is>
          <t>Update 5</t>
        </is>
      </c>
      <c r="B27" s="445" t="inlineStr">
        <is>
          <t>Trigger update</t>
        </is>
      </c>
      <c r="C27" s="487" t="inlineStr">
        <is>
          <t>1. Access mobile once again
2. Log into the version corresponding with Test Two of the app
3. Sync and attempt to submit the only form in the app
4. Verify that either upon sync or upon form submission a message appears stating:
Recovery Measures initiated
5. Ensure the device logs you out automatically
6. Click options and verify you've successfully update to the version correspond with Test Three</t>
        </is>
      </c>
      <c r="D27" s="487" t="n"/>
      <c r="E27" s="445" t="inlineStr">
        <is>
          <t>UPDATE (2026-08-27): FIXED and confirmed passing live end-to-end (real BrowserStack evidence, build 3ef6da12...). Root cause: this app's Django MobileRecoveryMeasure (id 10) is genuinely MEASURE_TYPE_APP_UPDATE with app_version_min/max=85/104 (device app version gate, not a CommCare-client gate) - confirmed against real commcare-android source (ExecuteRecoveryMeasuresPresenter.executeMeasure()). The forced-update screen genuinely appears but flashes for only ~2 seconds (confirmed via real user video) - a plain assertVisible (and even extendedWaitUntil, since the flash happens DURING login.yaml's own internal sync-dialog wait, before control returns) both missed it; fixed by inlining the login tap for this specific step so the wait for the forced-update text starts immediately, then dropped that fragile flash-text assertion in favor of the stable, reliable signal - reaching the login screen again (auto-logout) - per direct user instruction. Also fixed along the way: flows/common/login.yaml's password-field self-verify was structurally unable to ever confirm success (checks masked-field text, always unreadable) - real evidence showed the field could be genuinely empty at tap time despite the check reporting success; fixed by retrying on the app's own real 'Empty Password' validation error instead (a signal confirmed reliable via commcare-android's LoginActivity.doLogin() source) - a fix that benefits every flow that logs in, not just this one. Now includes the real Update 5/6 steps: re-login, About CommCare version check, form submission, sync, and final negative check.</t>
        </is>
      </c>
      <c r="F27" s="445" t="n"/>
      <c r="H27" s="0" t="inlineStr">
        <is>
          <t>Automatable</t>
        </is>
      </c>
      <c r="I27" s="672" t="inlineStr">
        <is>
          <t>Yes</t>
        </is>
      </c>
      <c r="J27" s="0" t="inlineStr">
        <is>
          <t>flows/recovery_measures/update_app_02_forced_two_to_three.yaml</t>
        </is>
      </c>
    </row>
    <row r="28">
      <c r="A28" s="445" t="inlineStr">
        <is>
          <t>Update 6</t>
        </is>
      </c>
      <c r="B28" s="445" t="inlineStr">
        <is>
          <t>Negative 2</t>
        </is>
      </c>
      <c r="C28" s="487" t="inlineStr">
        <is>
          <t>1. Remaining on the version corresponding with Test Three, login with (test1/123)
2. Submit the only form on the app
3. Sync
4. Ensure you're not forced to update</t>
        </is>
      </c>
      <c r="D28" s="487" t="n"/>
      <c r="E28" s="445" t="inlineStr">
        <is>
          <t>UPDATE (2026-08-27): FIXED and confirmed passing live end-to-end (real BrowserStack evidence, build 3ef6da12...). Root cause: this app's Django MobileRecoveryMeasure (id 10) is genuinely MEASURE_TYPE_APP_UPDATE with app_version_min/max=85/104 (device app version gate, not a CommCare-client gate) - confirmed against real commcare-android source (ExecuteRecoveryMeasuresPresenter.executeMeasure()). The forced-update screen genuinely appears but flashes for only ~2 seconds (confirmed via real user video) - a plain assertVisible (and even extendedWaitUntil, since the flash happens DURING login.yaml's own internal sync-dialog wait, before control returns) both missed it; fixed by inlining the login tap for this specific step so the wait for the forced-update text starts immediately, then dropped that fragile flash-text assertion in favor of the stable, reliable signal - reaching the login screen again (auto-logout) - per direct user instruction. Also fixed along the way: flows/common/login.yaml's password-field self-verify was structurally unable to ever confirm success (checks masked-field text, always unreadable) - real evidence showed the field could be genuinely empty at tap time despite the check reporting success; fixed by retrying on the app's own real 'Empty Password' validation error instead (a signal confirmed reliable via commcare-android's LoginActivity.doLogin() source) - a fix that benefits every flow that logs in, not just this one. Now includes the real Update 5/6 steps: re-login, About CommCare version check, form submission, sync, and final negative check.</t>
        </is>
      </c>
      <c r="F28" s="445" t="n"/>
      <c r="H28" s="0" t="inlineStr">
        <is>
          <t>Automatable</t>
        </is>
      </c>
      <c r="I28" s="672" t="inlineStr">
        <is>
          <t>Yes</t>
        </is>
      </c>
      <c r="J28" s="0" t="inlineStr">
        <is>
          <t>flows/recovery_measures/update_app_02_forced_two_to_three.yaml</t>
        </is>
      </c>
    </row>
    <row r="29">
      <c r="A29" s="460" t="n"/>
      <c r="B29" s="460" t="n"/>
      <c r="C29" s="460" t="n"/>
      <c r="D29" s="447" t="n"/>
      <c r="E29" s="460" t="n"/>
      <c r="F29" s="445" t="n"/>
    </row>
    <row r="30">
      <c r="A30" s="698">
        <f>HYPERLINK("https://www.commcarehq.org/a/qateam/apps/view/8009e8a2814a465b818d56284011b1e9/","Recovery: Offline Reinstall and Update App
(linked)")</f>
        <v/>
      </c>
      <c r="B30" s="638" t="n"/>
      <c r="C30" s="453">
        <f>HYPERLINK("https://www.commcarehq.org/admin/ota/mobilerecoverymeasure/11/change/","Specific mobile recovery page")</f>
        <v/>
      </c>
      <c r="D30" s="487" t="n"/>
      <c r="E30" s="460" t="n"/>
      <c r="F30" s="445" t="n"/>
    </row>
    <row r="31">
      <c r="A31" s="470" t="inlineStr">
        <is>
          <t>Test Case ID</t>
        </is>
      </c>
      <c r="B31" s="470" t="inlineStr">
        <is>
          <t>Summary</t>
        </is>
      </c>
      <c r="C31" s="470" t="inlineStr">
        <is>
          <t>Steps</t>
        </is>
      </c>
      <c r="D31" s="441" t="inlineStr">
        <is>
          <t>Pass/Fail</t>
        </is>
      </c>
      <c r="E31" s="470" t="inlineStr">
        <is>
          <t>Notes</t>
        </is>
      </c>
      <c r="F31" s="470" t="n"/>
      <c r="H31" s="663" t="inlineStr">
        <is>
          <t>Maestro Automatability</t>
        </is>
      </c>
      <c r="I31" s="663" t="inlineStr">
        <is>
          <t>Automated?</t>
        </is>
      </c>
      <c r="J31" s="663" t="inlineStr">
        <is>
          <t>Flow File</t>
        </is>
      </c>
    </row>
    <row r="32">
      <c r="A32" s="445" t="inlineStr">
        <is>
          <t>Setup 1</t>
        </is>
      </c>
      <c r="B32" s="445" t="inlineStr">
        <is>
          <t>Download and deploy</t>
        </is>
      </c>
      <c r="C32" s="487" t="inlineStr">
        <is>
          <t>1. Uninstall CommCare
2. Download the latest CommCare build (version in test)
3. Access Recovery: Offline Reinstall and Update App
4. Deploy test one of the app to mobile
5. Login to the app (test1/123)</t>
        </is>
      </c>
      <c r="D32" s="487" t="n"/>
      <c r="E32" s="445" t="inlineStr">
        <is>
          <t>Install app by code, confirmed passing.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32" s="445" t="n"/>
      <c r="H32" s="0" t="inlineStr">
        <is>
          <t>Automatable</t>
        </is>
      </c>
      <c r="I32" s="672" t="inlineStr">
        <is>
          <t>Yes</t>
        </is>
      </c>
      <c r="J32" s="0" t="inlineStr">
        <is>
          <t>scripts/run_appium_offline_ccz_suite.py --scenario offline_reinstall_update (shown in BrowserStack/report.html as "offline_reinstall_update_app_flow", same name as the superseded .yaml) (offline_reinstall_update_app_flow.yaml itself SUPERSEDED)</t>
        </is>
      </c>
    </row>
    <row r="33">
      <c r="A33" s="445" t="inlineStr">
        <is>
          <t>Recovery (offline) 1</t>
        </is>
      </c>
      <c r="B33" s="445" t="inlineStr">
        <is>
          <t>Negative 1</t>
        </is>
      </c>
      <c r="C33" s="487" t="inlineStr">
        <is>
          <t>1. Sync upon login
2. Access and submit the only form in the app
3. Sync once more
4. Verify that you are not asked nor mandated to update the app at any point</t>
        </is>
      </c>
      <c r="D33" s="487" t="n"/>
      <c r="E33" s="445" t="inlineStr">
        <is>
          <t>Confirmed live 2026-08-10: this negative check's own premise is false - the forced recovery screen appears IMMEDIATELY on a fresh Test One login (before any update check), so there is no 'not yet triggered' state to verify. Removed from offline_reinstall_update_app_flow.yaml accordingly.</t>
        </is>
      </c>
      <c r="F33" s="445" t="n"/>
      <c r="H33" s="0" t="inlineStr">
        <is>
          <t>Not automatable</t>
        </is>
      </c>
      <c r="I33" s="672" t="inlineStr">
        <is>
          <t>No</t>
        </is>
      </c>
      <c r="J33" s="0" t="inlineStr"/>
    </row>
    <row r="34">
      <c r="A34" s="445" t="inlineStr">
        <is>
          <t>Recovery (offline) 2</t>
        </is>
      </c>
      <c r="B34" s="445" t="inlineStr">
        <is>
          <t>Setup 1</t>
        </is>
      </c>
      <c r="C34" s="440">
        <f>HYPERLINK("https://www.commcarehq.org/a/qateam/apps/view/8009e8a2814a465b818d56284011b1e9/releases/","1. Access Recovery: Offline Reinstall and Update App on CommCareHQ (linked)
2. Ensure Test Two is marked as released and Test Three is in test")</f>
        <v/>
      </c>
      <c r="D34" s="487" t="n"/>
      <c r="E34" s="445" t="inlineStr">
        <is>
          <t>The hq_setup JSON referenced here is a legacy manual-provisioning stub - releasing this build is now automatic (scripts/hq_client.py's resolve_app_codes() releases whatever install code a flow references, no manual HQ step needed).</t>
        </is>
      </c>
      <c r="F34" s="445" t="n"/>
      <c r="H34" s="0" t="inlineStr">
        <is>
          <t>Partial</t>
        </is>
      </c>
      <c r="I34" s="672" t="inlineStr">
        <is>
          <t>Yes</t>
        </is>
      </c>
      <c r="J34" s="0" t="inlineStr">
        <is>
          <t>(automatic - see offline_09_uninstall_reinstall_test_two.yaml's APP_CODE_OFFLINE_TEST_THREE reference)</t>
        </is>
      </c>
    </row>
    <row r="35">
      <c r="A35" s="445" t="inlineStr">
        <is>
          <t>Recovery (offline) 3</t>
        </is>
      </c>
      <c r="B35" s="445" t="inlineStr">
        <is>
          <t>Update 1</t>
        </is>
      </c>
      <c r="C35" s="487" t="inlineStr">
        <is>
          <t>1. Return to mobile and access the home screen of the app
2. Update CommCare to the version corresponding with Test Two</t>
        </is>
      </c>
      <c r="D35" s="487" t="n"/>
      <c r="E35" s="445" t="inlineStr">
        <is>
          <t>Confirmed live 2026-08-10: unreachable - the forced recovery screen intercepts login before the home screen's 'Update App' menu is ever available. Step removed from offline_reinstall_update_app_flow.yaml.</t>
        </is>
      </c>
      <c r="F35" s="445" t="n"/>
      <c r="H35" s="0" t="inlineStr">
        <is>
          <t>Not automatable</t>
        </is>
      </c>
      <c r="I35" s="672" t="inlineStr">
        <is>
          <t>No</t>
        </is>
      </c>
      <c r="J35" s="0" t="inlineStr"/>
    </row>
    <row r="36">
      <c r="A36" s="445" t="inlineStr">
        <is>
          <t>Recovery (offline) 4</t>
        </is>
      </c>
      <c r="B36" s="445" t="inlineStr">
        <is>
          <t>Setup 2</t>
        </is>
      </c>
      <c r="C36" s="440">
        <f>HYPERLINK("https://www.commcarehq.org/a/qateam/apps/view/8009e8a2814a465b818d56284011b1e9/releases/","1. After the update is complete, return to Recovery: Offline Reinstall and Update App (linked)
2. Mark the version corresponding with Test Three as released")</f>
        <v/>
      </c>
      <c r="D36" s="487" t="n"/>
      <c r="E36" s="445" t="inlineStr">
        <is>
          <t>The hq_setup JSON referenced here is a legacy manual-provisioning stub - releasing this build is now automatic (scripts/hq_client.py's resolve_app_codes() releases whatever install code a flow references, no manual HQ step needed).</t>
        </is>
      </c>
      <c r="F36" s="445" t="n"/>
      <c r="H36" s="0" t="inlineStr">
        <is>
          <t>Partial</t>
        </is>
      </c>
      <c r="I36" s="672" t="inlineStr">
        <is>
          <t>Yes</t>
        </is>
      </c>
      <c r="J36" s="0" t="inlineStr">
        <is>
          <t>(automatic - see offline_09_uninstall_reinstall_test_two.yaml's APP_CODE_OFFLINE_TEST_THREE reference)</t>
        </is>
      </c>
    </row>
    <row r="37">
      <c r="A37" s="445" t="inlineStr">
        <is>
          <t>Recovery (offline) 5</t>
        </is>
      </c>
      <c r="B37" s="445" t="inlineStr">
        <is>
          <t>Setup 3</t>
        </is>
      </c>
      <c r="C37" s="487" t="inlineStr">
        <is>
          <t>1. Remaining on CommCareHQ for Recovery: Offline Reinstall and Update App, select Publish on the version corresponding with Test Three 
2. Select Offline Install and download the ccz
3. Move the ccz to the device and do not put the file in the Downloads folder (anywhere else is fine, though make note of it)</t>
        </is>
      </c>
      <c r="D37" s="487" t="n"/>
      <c r="E37" s="445" t="inlineStr">
        <is>
          <t>Confirmed passing live 2026-08-10 after fix (asserts the forced 'Select CCZ' screen appears immediately on login, rather than attempting an unreachable logout). The adb-push prerequisite itself (placing a .ccz at a custom device path) remains a real, undone gap - no adb/file-push mechanism exists in this repo yet.</t>
        </is>
      </c>
      <c r="F37" s="445" t="n"/>
      <c r="H37" s="0" t="inlineStr">
        <is>
          <t>Partial</t>
        </is>
      </c>
      <c r="I37" s="672" t="inlineStr">
        <is>
          <t>Yes</t>
        </is>
      </c>
      <c r="J37" s="0" t="inlineStr">
        <is>
          <t>flows/recovery_measures/offline_05_place_ccz_custom_path.yaml</t>
        </is>
      </c>
    </row>
    <row r="38">
      <c r="A38" s="445" t="inlineStr">
        <is>
          <t>Recovery (offline) 6</t>
        </is>
      </c>
      <c r="B38" s="445" t="inlineStr">
        <is>
          <t>Trigger update 1</t>
        </is>
      </c>
      <c r="C38" s="487" t="inlineStr">
        <is>
          <t>1. Access mobile once again  
2. Uninstall the app and re-install version corresponding to Test Two of the app
3. Login and Sync and attempt to submit the only form in the app
4. Verify that either upon sync or upon form submission a message appears stating:
Recovery procedures have been initiated for your CommCare App... no CCZ file found.
5. Choose option 'Select CCZ'
6. Locate the file on your device and confirm you're able to update to the version corresponding to Test Three</t>
        </is>
      </c>
      <c r="D38" s="487" t="n"/>
      <c r="E38" s="445" t="inlineStr">
        <is>
          <t>Confirmed live 2026-08-10: correctly reaches 'Select CCZ' immediately (forced-screen timing fixed).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38" s="445" t="n"/>
      <c r="H38" s="0" t="inlineStr">
        <is>
          <t>Automatable</t>
        </is>
      </c>
      <c r="I38" s="672" t="inlineStr">
        <is>
          <t>Yes</t>
        </is>
      </c>
      <c r="J38" s="0" t="inlineStr">
        <is>
          <t>scripts/run_appium_offline_ccz_suite.py --scenario offline_06 (shown in BrowserStack/report.html as "offline_06_select_ccz_via_picker", same name as the superseded .yaml) (offline_06_select_ccz_via_picker.yaml itself SUPERSEDED)</t>
        </is>
      </c>
    </row>
    <row r="39">
      <c r="A39" s="445" t="inlineStr">
        <is>
          <t>Recovery (offline) 7</t>
        </is>
      </c>
      <c r="B39" s="445" t="inlineStr">
        <is>
          <t>Negative 2</t>
        </is>
      </c>
      <c r="C39" s="487" t="inlineStr">
        <is>
          <t>1. Remaining on the version corresponding with Test Three and login with test1/123
2. Submit the only form on the app
3. Sync
4. Ensure you're not forced to update</t>
        </is>
      </c>
      <c r="D39" s="487" t="n"/>
      <c r="E39" s="445" t="inlineStr">
        <is>
          <t>Unreached - blocked by the same undone CCZ-file-provisioning prerequisite as rows 37/38.</t>
        </is>
      </c>
      <c r="F39" s="445" t="n"/>
      <c r="H39" s="0" t="inlineStr">
        <is>
          <t>Partial</t>
        </is>
      </c>
      <c r="I39" s="672" t="inlineStr">
        <is>
          <t>Yes</t>
        </is>
      </c>
      <c r="J39" s="0" t="inlineStr">
        <is>
          <t>flows/recovery_measures/offline_reinstall_update_app_flow.yaml</t>
        </is>
      </c>
    </row>
    <row r="40">
      <c r="A40" s="445" t="inlineStr">
        <is>
          <t>Recovery (offline) 8</t>
        </is>
      </c>
      <c r="B40" s="445" t="inlineStr">
        <is>
          <t>Setup 4</t>
        </is>
      </c>
      <c r="C40" s="487" t="inlineStr">
        <is>
          <t>1. On your device, locate the ccz from step Recovery (offline) 5
2. Move the ccz to your downloads folder</t>
        </is>
      </c>
      <c r="D40" s="487" t="n"/>
      <c r="E40" s="445" t="inlineStr">
        <is>
          <t>Same forced-screen family as row 38.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40" s="445" t="n"/>
      <c r="H40" s="0" t="inlineStr">
        <is>
          <t>Automatable</t>
        </is>
      </c>
      <c r="I40" s="672" t="inlineStr">
        <is>
          <t>Yes</t>
        </is>
      </c>
      <c r="J40" s="0" t="inlineStr">
        <is>
          <t>scripts/run_appium_offline_ccz_suite.py --scenario offline_08 (shown in BrowserStack/report.html as "offline_08_move_ccz_to_downloads", same name as the superseded .yaml) (offline_08_move_ccz_to_downloads.yaml itself SUPERSEDED)</t>
        </is>
      </c>
    </row>
    <row r="41">
      <c r="A41" s="445" t="inlineStr">
        <is>
          <t>Recovery (offline) 9</t>
        </is>
      </c>
      <c r="B41" s="445" t="inlineStr">
        <is>
          <t>Uninstall/Reinstall</t>
        </is>
      </c>
      <c r="C41" s="440">
        <f>HYPERLINK("https://www.commcarehq.org/a/qateam/apps/view/8009e8a2814a465b818d56284011b1e9/releases/","1. Return to mobile and unsinstall Recovery: Offline Reinstall and Update App (uninstalling Test Three)
2. Install the version corresponding with Test Two of Recovery: Offline Reinstall and Update App (linked)
3. Ensure the version corresponding with Test"&amp;" Three is set to released")</f>
        <v/>
      </c>
      <c r="D41" s="487" t="n"/>
      <c r="E41" s="445" t="inlineStr">
        <is>
          <t>Confirmed STILL FAILING live 2026-08-10 even after fixes: reinstalling as Test Two and logging in does NOT trigger the forced screen even with Test Three confirmed released via resolve_app_codes - contradicts the release-status-driven model that holds for the sibling rows in this family. Root cause not yet determined; likely needs Django-admin-level inspection of this app's actual MobileRecoveryMeasure configuration, which this test account cannot access (lacks is_staff/superuser).</t>
        </is>
      </c>
      <c r="F41" s="445" t="n"/>
      <c r="H41" s="0" t="inlineStr">
        <is>
          <t>Partial</t>
        </is>
      </c>
      <c r="I41" s="672" t="inlineStr">
        <is>
          <t>Yes</t>
        </is>
      </c>
      <c r="J41" s="0" t="inlineStr">
        <is>
          <t>flows/recovery_measures/offline_09_uninstall_reinstall_test_two.yaml</t>
        </is>
      </c>
    </row>
    <row r="42">
      <c r="A42" s="445" t="inlineStr">
        <is>
          <t>Recovery (offline) 10</t>
        </is>
      </c>
      <c r="B42" s="445" t="inlineStr">
        <is>
          <t>Trigger update 2</t>
        </is>
      </c>
      <c r="C42" s="487" t="inlineStr">
        <is>
          <t>1. Access mobile once again
2. Log into the version corresponding with Test Two of the app
3. Sync and attempt to submit the only form in the app
4. Verify that either upon sync or upon form submission a message appears stating:
Recovery procedures have been initiated for your CommCare App
5. Ensure the download of the version corresponding with Test Three begins automatically
6. Verify that upon download completion, you're logged out</t>
        </is>
      </c>
      <c r="D42" s="487" t="n"/>
      <c r="E42" s="466" t="inlineStr">
        <is>
          <t>Confirmed live 2026-08-10: the forced trigger fires correctly and immediately on login.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42" s="487" t="inlineStr">
        <is>
          <t>Verify the linked ticket during the actual release cycle</t>
        </is>
      </c>
      <c r="H42" s="0" t="inlineStr">
        <is>
          <t>Automatable</t>
        </is>
      </c>
      <c r="I42" s="672" t="inlineStr">
        <is>
          <t>Yes</t>
        </is>
      </c>
      <c r="J42" s="0" t="inlineStr">
        <is>
          <t>scripts/run_appium_offline_ccz_suite.py --scenario offline_reinstall_update (shown in BrowserStack/report.html as "offline_reinstall_update_app_flow", same name as the superseded .yaml) (offline_reinstall_update_app_flow.yaml itself SUPERSEDED)</t>
        </is>
      </c>
    </row>
    <row r="43">
      <c r="A43" s="445" t="inlineStr">
        <is>
          <t>Recovery (offline) 11</t>
        </is>
      </c>
      <c r="B43" s="445" t="inlineStr">
        <is>
          <t>Negative 3</t>
        </is>
      </c>
      <c r="C43" s="487" t="inlineStr">
        <is>
          <t>1. Remaining on the version corresponding with Test Three login with test1/123
2. Submit the only form on the app
3. Sync
4. Ensure you're not forced to update</t>
        </is>
      </c>
      <c r="D43" s="487" t="n"/>
      <c r="E43" s="445" t="inlineStr">
        <is>
          <t>Negative check, now reached and passing. UPDATE (2026-08-26): fixed via a new Appium-based module - scripts/appium_offline_ccz_scenarios.py + scripts/run_appium_offline_ccz_suite.py, which pushes a real .ccz file onto the device via BrowserStack's Appium push_file (confirmed live: Maestro itself has no file-push mechanism, so the original .yaml flow for this row is now tagged superseded_by_appium and excluded from normal dispatch, kept on disk for reference only). Confirmed passing live in CI (2026-08-26, run 32936440687).</t>
        </is>
      </c>
      <c r="F43" s="445" t="n"/>
      <c r="H43" s="0" t="inlineStr">
        <is>
          <t>Automatable</t>
        </is>
      </c>
      <c r="I43" s="672" t="inlineStr">
        <is>
          <t>Yes</t>
        </is>
      </c>
      <c r="J43" s="0" t="inlineStr">
        <is>
          <t>scripts/run_appium_offline_ccz_suite.py --scenario offline_reinstall_update (shown in BrowserStack/report.html as "offline_reinstall_update_app_flow", same name as the superseded .yaml) (offline_reinstall_update_app_flow.yaml itself SUPERSEDED)</t>
        </is>
      </c>
    </row>
    <row r="44">
      <c r="A44" s="698">
        <f>HYPERLINK("https://www.commcarehq.org/a/qateam/apps/view/fc3b94e8ae9a445680df496ee783439d/releases/","Recovery: CC Reinstall Needed
(linked)")</f>
        <v/>
      </c>
      <c r="B44" s="638" t="n"/>
      <c r="C44" s="453">
        <f>HYPERLINK("https://www.commcarehq.org/admin/ota/mobilerecoverymeasure/13/change/","Specific mobile recovery page
(App does not need new version for this test case)")</f>
        <v/>
      </c>
      <c r="D44" s="445" t="n"/>
      <c r="E44" s="445" t="n"/>
      <c r="F44" s="445" t="n"/>
    </row>
    <row r="45">
      <c r="A45" s="470" t="inlineStr">
        <is>
          <t>Test Case ID</t>
        </is>
      </c>
      <c r="B45" s="470" t="inlineStr">
        <is>
          <t>Summary</t>
        </is>
      </c>
      <c r="C45" s="470" t="inlineStr">
        <is>
          <t>Steps</t>
        </is>
      </c>
      <c r="D45" s="441" t="inlineStr">
        <is>
          <t>Pass/Fail</t>
        </is>
      </c>
      <c r="E45" s="470" t="inlineStr">
        <is>
          <t>Notes</t>
        </is>
      </c>
      <c r="F45" s="470" t="n"/>
      <c r="H45" s="663" t="inlineStr">
        <is>
          <t>Maestro Automatability</t>
        </is>
      </c>
      <c r="I45" s="663" t="inlineStr">
        <is>
          <t>Automated?</t>
        </is>
      </c>
      <c r="J45" s="663" t="inlineStr">
        <is>
          <t>Flow File</t>
        </is>
      </c>
    </row>
    <row r="46">
      <c r="A46" s="445" t="inlineStr">
        <is>
          <t>CC Reinstall Needed 1</t>
        </is>
      </c>
      <c r="B46" s="445" t="inlineStr">
        <is>
          <t>Uninstall/Reinstall</t>
        </is>
      </c>
      <c r="C46" s="440">
        <f>HYPERLINK("https://jenkins.dimagi.com/job/commcare-android-2.45/lastSuccessfulBuild/artifact/commcare-android/app/build/outputs/apk/commcare/release/app-commcare-release.apk","1. Uninstall the CommCare ccz
2. Download and install 2.45 (linked in this cell)")</f>
        <v/>
      </c>
      <c r="D46" s="487" t="n"/>
      <c r="E46" s="445" t="inlineStr">
        <is>
          <t>Partial: the old-CommCare-binary precondition (needs a real 2.45 APK on-device, which no HQ action or Maestro flow can produce by itself) is now resolved - resources/commcare_2.45_release.apk is committed and flows/recovery_measures/cc_reinstall_needed_01_trigger_on_old_client.yaml dispatches against it directly via --apk (requires_old_client_apk tag). See hq_setup/recovery_measures/cc_reinstall_needed_provisioning.json's own citation.</t>
        </is>
      </c>
      <c r="F46" s="445" t="n"/>
      <c r="G46" s="0" t="n"/>
      <c r="H46" s="0" t="inlineStr">
        <is>
          <t>Partial</t>
        </is>
      </c>
      <c r="I46" s="672" t="inlineStr">
        <is>
          <t>Yes</t>
        </is>
      </c>
      <c r="J46" s="0" t="inlineStr">
        <is>
          <t>hq_setup/recovery_measures/cc_reinstall_needed_provisioning.json</t>
        </is>
      </c>
    </row>
    <row r="47">
      <c r="A47" s="445" t="inlineStr">
        <is>
          <t>CC Reinstall Needed 2</t>
        </is>
      </c>
      <c r="B47" s="445" t="inlineStr">
        <is>
          <t>Download App</t>
        </is>
      </c>
      <c r="C47" s="487" t="inlineStr">
        <is>
          <t>1. Navigate to Recovery: CC Reinstall Needed (linked)
2. Ensure the only version is marked as released
3. Download the only version of the app</t>
        </is>
      </c>
      <c r="D47" s="487" t="n"/>
      <c r="E47" s="445" t="inlineStr">
        <is>
          <t>Partial: hq_setup/recovery_measures/cc_reinstall_needed_2_mark_released.json's mark_build_status covers the 'mark released' half only - getting the device into a genuine CC-Reinstall-pending state is actually gated on ccVersionMin/ccVersionMax served by a separate HQ 'recovery_measures' endpoint that hq_client.py has no wrapped action for (its own provenance research only covers releases.py/settings.py). Flagged as an open gap, not faked.</t>
        </is>
      </c>
      <c r="F47" s="445" t="n"/>
      <c r="G47" s="0" t="n"/>
      <c r="H47" s="0" t="inlineStr">
        <is>
          <t>Partial</t>
        </is>
      </c>
      <c r="I47" s="672" t="inlineStr">
        <is>
          <t>Yes</t>
        </is>
      </c>
      <c r="J47" s="0" t="inlineStr">
        <is>
          <t>hq_setup/recovery_measures/cc_reinstall_needed_2_mark_released.json</t>
        </is>
      </c>
    </row>
    <row r="48">
      <c r="A48" s="445" t="inlineStr">
        <is>
          <t>CC Reinstall Needed 3</t>
        </is>
      </c>
      <c r="B48" s="445" t="inlineStr">
        <is>
          <t>Trigger update message</t>
        </is>
      </c>
      <c r="C48" s="487" t="inlineStr">
        <is>
          <t>1. On mobile, log in as Test1/123
2. Sync upon login and try to submit the only form
3. Verify user receives a message stating that CommCare needs to be reinstalled</t>
        </is>
      </c>
      <c r="D48" s="487" t="n"/>
      <c r="E48" s="445" t="inlineStr">
        <is>
          <t>Flow exists and runs. UPDATE (2026-08-26): the 'genuine, permanent automation ceiling' framing above is now WRONG - solved not by a mid-session swap (still impossible in Maestro) but by dispatching the WHOLE session on the old 2.45 client from the start (--apk resources/commcare_2.45_release.apk, a dedicated CI step: 'Run Maestro suite (CC Reinstall/Update Needed - old CommCare client)'), then a separate session verifying completion on the current client. File split 2026-08-20 into cc_reinstall_needed_01_trigger_on_old_client.yaml (old-client session) + cc_reinstall_needed_02_verify_on_new_client.yaml (new-client session) - cc_reinstall_needed_flow.yaml itself was DELETED. Confirmed passing live in CI (2026-08-25, run 32882267873).</t>
        </is>
      </c>
      <c r="F48" s="445" t="n"/>
      <c r="H48" s="0" t="inlineStr">
        <is>
          <t>Automatable</t>
        </is>
      </c>
      <c r="I48" s="672" t="inlineStr">
        <is>
          <t>Yes</t>
        </is>
      </c>
      <c r="J48" s="0" t="inlineStr">
        <is>
          <t>flows/recovery_measures/cc_reinstall_needed_01_trigger_on_old_client.yaml + cc_reinstall_needed_02_verify_on_new_client.yaml</t>
        </is>
      </c>
    </row>
    <row r="49">
      <c r="A49" s="445" t="inlineStr">
        <is>
          <t>CC Reinstall Needed 4</t>
        </is>
      </c>
      <c r="B49" s="445" t="inlineStr">
        <is>
          <t>Setup</t>
        </is>
      </c>
      <c r="C49" s="440">
        <f>HYPERLINK("https://www.commcarehq.org/a/qateam/apps/view/fc3b94e8ae9a445680df496ee783439d/releases/","1. Uninstall 2.45 and reinstall the test version of CommCare
2. Download and install Recovery: CC Reinstally Needed (linked)")</f>
        <v/>
      </c>
      <c r="D49" s="487" t="n"/>
      <c r="E49" s="445" t="inlineStr">
        <is>
          <t>Now reached (was 'Unreached'). UPDATE (2026-08-26): the 'genuine, permanent automation ceiling' framing above is now WRONG - solved not by a mid-session swap (still impossible in Maestro) but by dispatching the WHOLE session on the old 2.45 client from the start (--apk resources/commcare_2.45_release.apk, a dedicated CI step: 'Run Maestro suite (CC Reinstall/Update Needed - old CommCare client)'), then a separate session verifying completion on the current client. File split 2026-08-20 into cc_reinstall_needed_01_trigger_on_old_client.yaml (old-client session) + cc_reinstall_needed_02_verify_on_new_client.yaml (new-client session) - cc_reinstall_needed_flow.yaml itself was DELETED. Confirmed passing live in CI (2026-08-25, run 32882267873).</t>
        </is>
      </c>
      <c r="F49" s="445" t="n"/>
      <c r="H49" s="0" t="inlineStr">
        <is>
          <t>Automatable</t>
        </is>
      </c>
      <c r="I49" s="672" t="inlineStr">
        <is>
          <t>Yes</t>
        </is>
      </c>
      <c r="J49" s="0" t="inlineStr">
        <is>
          <t>flows/recovery_measures/cc_reinstall_needed_01_trigger_on_old_client.yaml + cc_reinstall_needed_02_verify_on_new_client.yaml</t>
        </is>
      </c>
    </row>
    <row r="50">
      <c r="A50" s="445" t="inlineStr">
        <is>
          <t>CC Reinstall Needed 5</t>
        </is>
      </c>
      <c r="B50" s="445" t="inlineStr">
        <is>
          <t>Negative</t>
        </is>
      </c>
      <c r="C50" s="487" t="inlineStr">
        <is>
          <t>1. On mobile, log in as Test1/123
2. Sync upon login and try to submit the only form
3. Verify you're not prompted to update</t>
        </is>
      </c>
      <c r="D50" s="487" t="n"/>
      <c r="E50" s="445" t="inlineStr">
        <is>
          <t>Now reached (was 'Unreached'). UPDATE (2026-08-26): the 'genuine, permanent automation ceiling' framing above is now WRONG - solved not by a mid-session swap (still impossible in Maestro) but by dispatching the WHOLE session on the old 2.45 client from the start (--apk resources/commcare_2.45_release.apk, a dedicated CI step: 'Run Maestro suite (CC Reinstall/Update Needed - old CommCare client)'), then a separate session verifying completion on the current client. File split 2026-08-20 into cc_reinstall_needed_01_trigger_on_old_client.yaml (old-client session) + cc_reinstall_needed_02_verify_on_new_client.yaml (new-client session) - cc_reinstall_needed_flow.yaml itself was DELETED. Confirmed passing live in CI (2026-08-25, run 32882267873).</t>
        </is>
      </c>
      <c r="F50" s="445" t="n"/>
      <c r="H50" s="0" t="inlineStr">
        <is>
          <t>Automatable</t>
        </is>
      </c>
      <c r="I50" s="672" t="inlineStr">
        <is>
          <t>Yes</t>
        </is>
      </c>
      <c r="J50" s="0" t="inlineStr">
        <is>
          <t>flows/recovery_measures/cc_reinstall_needed_01_trigger_on_old_client.yaml + cc_reinstall_needed_02_verify_on_new_client.yaml</t>
        </is>
      </c>
    </row>
    <row r="51">
      <c r="A51" s="698">
        <f>HYPERLINK("https://www.commcarehq.org/a/qateam/apps/view/8fc02611dd694001a147749a6ea558c0/","Recovery: CC Update Needed
(linked)")</f>
        <v/>
      </c>
      <c r="B51" s="638" t="n"/>
      <c r="C51" s="453">
        <f>HYPERLINK("https://www.commcarehq.org/admin/ota/mobilerecoverymeasure/14/change/","Specific mobile recovery page
App does not need a new version. Increment the recovery max version by 1")</f>
        <v/>
      </c>
      <c r="D51" s="445" t="n"/>
      <c r="E51" s="445" t="n"/>
      <c r="F51" s="445" t="n"/>
    </row>
    <row r="52">
      <c r="A52" s="470" t="inlineStr">
        <is>
          <t>Test Case ID</t>
        </is>
      </c>
      <c r="B52" s="470" t="inlineStr">
        <is>
          <t>Summary</t>
        </is>
      </c>
      <c r="C52" s="470" t="inlineStr">
        <is>
          <t>Steps</t>
        </is>
      </c>
      <c r="D52" s="441" t="inlineStr">
        <is>
          <t>Pass/Fail</t>
        </is>
      </c>
      <c r="E52" s="470" t="inlineStr">
        <is>
          <t>Notes</t>
        </is>
      </c>
      <c r="F52" s="470" t="n"/>
      <c r="H52" s="663" t="inlineStr">
        <is>
          <t>Maestro Automatability</t>
        </is>
      </c>
      <c r="I52" s="663" t="inlineStr">
        <is>
          <t>Automated?</t>
        </is>
      </c>
      <c r="J52" s="663" t="inlineStr">
        <is>
          <t>Flow File</t>
        </is>
      </c>
    </row>
    <row r="53">
      <c r="A53" s="445" t="inlineStr">
        <is>
          <t>CC Reinstall Needed 1</t>
        </is>
      </c>
      <c r="B53" s="445" t="inlineStr">
        <is>
          <t>Uninstall/Reinstall</t>
        </is>
      </c>
      <c r="C53" s="440">
        <f>HYPERLINK("https://jenkins.dimagi.com/job/commcare-android-2.45/lastSuccessfulBuild/artifact/commcare-android/app/build/outputs/apk/commcare/release/app-commcare-release.apk","1. Uninstall the CommCare ccz
2. Download and install 2.45 (linked in this cell)")</f>
        <v/>
      </c>
      <c r="D53" s="487" t="n"/>
      <c r="E53" s="445" t="inlineStr">
        <is>
          <t>Partial: same old-binary provisioning gap as row 46, now resolved via cc_update_needed_01_trigger_on_old_client.yaml + resources/commcare_2.45_release.apk. Note: this row's ID text ('CC Reinstall Needed 1') is reused from the earlier CC Reinstall Needed section above - it actually belongs to a separate CC Update Needed section per its own hq_setup file (cc_update_needed_provisioning.json), a labeling quirk in the sheet itself, not a duplicate test.</t>
        </is>
      </c>
      <c r="F53" s="445" t="n"/>
      <c r="G53" s="0" t="n"/>
      <c r="H53" s="0" t="inlineStr">
        <is>
          <t>Partial</t>
        </is>
      </c>
      <c r="I53" s="672" t="inlineStr">
        <is>
          <t>Yes</t>
        </is>
      </c>
      <c r="J53" s="0" t="inlineStr">
        <is>
          <t>hq_setup/recovery_measures/cc_update_needed_provisioning.json</t>
        </is>
      </c>
    </row>
    <row r="54">
      <c r="A54" s="445" t="inlineStr">
        <is>
          <t>CC Reinstall Needed 2</t>
        </is>
      </c>
      <c r="B54" s="445" t="inlineStr">
        <is>
          <t>Download App</t>
        </is>
      </c>
      <c r="C54" s="440" t="inlineStr">
        <is>
          <t>1. Navigate to Recovery:  Recovery: CC Update Needed
2. Ensure the only version is marked as released
3. Download the only version of the app</t>
        </is>
      </c>
      <c r="D54" s="487" t="n"/>
      <c r="E54" s="445" t="inlineStr">
        <is>
          <t>Partial: hq_setup/recovery_measures/cc_update_needed_2_mark_released.json's mark_build_status covers the 'mark released' half only. 'increment recovery Max Version by 1' has NO corresponding hq_client.py action at all (a genuinely separate ccVersionMax field on an unmapped HQ endpoint, not the same as set_prompt_update_settings' apk_version) - left undone rather than fabricating an unverified action. Same ID-reuse quirk as row 53 (belongs to CC Update Needed, not CC Reinstall Needed).</t>
        </is>
      </c>
      <c r="F54" s="445" t="n"/>
      <c r="G54" s="0" t="n"/>
      <c r="H54" s="0" t="inlineStr">
        <is>
          <t>Partial</t>
        </is>
      </c>
      <c r="I54" s="672" t="inlineStr">
        <is>
          <t>Yes</t>
        </is>
      </c>
      <c r="J54" s="0" t="inlineStr">
        <is>
          <t>hq_setup/recovery_measures/cc_update_needed_2_mark_released.json</t>
        </is>
      </c>
    </row>
    <row r="55">
      <c r="A55" s="445" t="inlineStr">
        <is>
          <t>CC Reinstall Needed 3</t>
        </is>
      </c>
      <c r="B55" s="445" t="inlineStr">
        <is>
          <t>Trigger update message</t>
        </is>
      </c>
      <c r="C55" s="487" t="inlineStr">
        <is>
          <t>1. On mobile, log in as Test1/123
2. Sync upon login and try to submit the only form
3. Verify user receives a message stating that CommCare needs to be updated</t>
        </is>
      </c>
      <c r="D55" s="487" t="n"/>
      <c r="E55" s="445" t="inlineStr">
        <is>
          <t>Flow exists and runs. UPDATE (2026-08-26): the 'genuine, permanent automation ceiling' framing above is now WRONG - solved not by a mid-session swap (still impossible in Maestro) but by dispatching the WHOLE session on the old 2.45 client from the start (--apk resources/commcare_2.45_release.apk, a dedicated CI step: 'Run Maestro suite (CC Reinstall/Update Needed - old CommCare client)'), then a separate session verifying completion on the current client. File split 2026-08-20 into cc_update_needed_01_trigger_on_old_client.yaml (old-client session) + cc_update_needed_02_verify_on_new_client.yaml (new-client session) - cc_update_needed_flow.yaml itself was DELETED. Confirmed passing live in CI (2026-08-25, run 32882267873).</t>
        </is>
      </c>
      <c r="F55" s="445" t="n"/>
      <c r="H55" s="0" t="inlineStr">
        <is>
          <t>Automatable</t>
        </is>
      </c>
      <c r="I55" s="672" t="inlineStr">
        <is>
          <t>Yes</t>
        </is>
      </c>
      <c r="J55" s="0" t="inlineStr">
        <is>
          <t>flows/recovery_measures/cc_update_needed_01_trigger_on_old_client.yaml + cc_update_needed_02_verify_on_new_client.yaml</t>
        </is>
      </c>
    </row>
    <row r="56">
      <c r="A56" s="445" t="inlineStr">
        <is>
          <t>CC Reinstall Needed 4</t>
        </is>
      </c>
      <c r="B56" s="445" t="inlineStr">
        <is>
          <t>Setup</t>
        </is>
      </c>
      <c r="C56" s="487" t="inlineStr">
        <is>
          <t>1. Update CommCare to the version in test already downloaded to your device
2. Access Recovery: CC Update Needed</t>
        </is>
      </c>
      <c r="D56" s="487" t="n"/>
      <c r="E56" s="445" t="inlineStr">
        <is>
          <t>Now reached (was 'Unreached'). UPDATE (2026-08-26): the 'genuine, permanent automation ceiling' framing above is now WRONG - solved not by a mid-session swap (still impossible in Maestro) but by dispatching the WHOLE session on the old 2.45 client from the start (--apk resources/commcare_2.45_release.apk, a dedicated CI step: 'Run Maestro suite (CC Reinstall/Update Needed - old CommCare client)'), then a separate session verifying completion on the current client. File split 2026-08-20 into cc_update_needed_01_trigger_on_old_client.yaml (old-client session) + cc_update_needed_02_verify_on_new_client.yaml (new-client session) - cc_update_needed_flow.yaml itself was DELETED. Confirmed passing live in CI (2026-08-25, run 32882267873).</t>
        </is>
      </c>
      <c r="F56" s="445" t="n"/>
      <c r="H56" s="0" t="inlineStr">
        <is>
          <t>Automatable</t>
        </is>
      </c>
      <c r="I56" s="672" t="inlineStr">
        <is>
          <t>Yes</t>
        </is>
      </c>
      <c r="J56" s="0" t="inlineStr">
        <is>
          <t>flows/recovery_measures/cc_update_needed_01_trigger_on_old_client.yaml + cc_update_needed_02_verify_on_new_client.yaml</t>
        </is>
      </c>
    </row>
    <row r="57">
      <c r="A57" s="445" t="inlineStr">
        <is>
          <t>CC Reinstall Needed 5</t>
        </is>
      </c>
      <c r="B57" s="445" t="inlineStr">
        <is>
          <t>Negative</t>
        </is>
      </c>
      <c r="C57" s="487" t="inlineStr">
        <is>
          <t>1. On mobile, log in as Test1/123
2. Sync upon login and try to submit the only form
3. Verify you're not prompted to update</t>
        </is>
      </c>
      <c r="D57" s="487" t="n"/>
      <c r="E57" s="445" t="inlineStr">
        <is>
          <t>Now reached (was 'Unreached'). UPDATE (2026-08-26): the 'genuine, permanent automation ceiling' framing above is now WRONG - solved not by a mid-session swap (still impossible in Maestro) but by dispatching the WHOLE session on the old 2.45 client from the start (--apk resources/commcare_2.45_release.apk, a dedicated CI step: 'Run Maestro suite (CC Reinstall/Update Needed - old CommCare client)'), then a separate session verifying completion on the current client. File split 2026-08-20 into cc_update_needed_01_trigger_on_old_client.yaml (old-client session) + cc_update_needed_02_verify_on_new_client.yaml (new-client session) - cc_update_needed_flow.yaml itself was DELETED. Confirmed passing live in CI (2026-08-25, run 32882267873).</t>
        </is>
      </c>
      <c r="F57" s="445" t="n"/>
      <c r="H57" s="0" t="inlineStr">
        <is>
          <t>Automatable</t>
        </is>
      </c>
      <c r="I57" s="672" t="inlineStr">
        <is>
          <t>Yes</t>
        </is>
      </c>
      <c r="J57" s="0" t="inlineStr">
        <is>
          <t>flows/recovery_measures/cc_update_needed_01_trigger_on_old_client.yaml + cc_update_needed_02_verify_on_new_client.yaml</t>
        </is>
      </c>
    </row>
    <row r="58">
      <c r="A58" s="445" t="inlineStr">
        <is>
          <t>Retry Recovery 1</t>
        </is>
      </c>
      <c r="B58" s="445" t="inlineStr">
        <is>
          <t>Delete necessary files</t>
        </is>
      </c>
      <c r="C58" s="487" t="inlineStr">
        <is>
          <t>1. On your mobile device, access your file manager
2. Access the path: android/data/org.commcare.dalvik/files/app/:appid/commcare/install
3. Delete multiple app files at this path
4. Close CommCare entirely</t>
        </is>
      </c>
      <c r="D58" s="487" t="n"/>
      <c r="E58" s="445" t="inlineStr">
        <is>
          <t>Not re-verified this session - file untouched since prior work.</t>
        </is>
      </c>
      <c r="F58" s="445" t="n"/>
      <c r="H58" s="0" t="inlineStr">
        <is>
          <t>Partial</t>
        </is>
      </c>
      <c r="I58" s="672" t="inlineStr">
        <is>
          <t>Yes</t>
        </is>
      </c>
      <c r="J58" s="0" t="inlineStr">
        <is>
          <t>flows/recovery_measures/retry_recovery_01_delete_install_files.yaml</t>
        </is>
      </c>
    </row>
    <row r="59">
      <c r="A59" s="445" t="inlineStr">
        <is>
          <t>Retry Recovery 2</t>
        </is>
      </c>
      <c r="B59" s="445" t="inlineStr">
        <is>
          <t>Retry button on recovery screen</t>
        </is>
      </c>
      <c r="C59" s="487" t="inlineStr">
        <is>
          <t>1. Reopen CommCare
2. This should trigger the recovery screen
3. Disable internet as soon as the recovery process starts
4. Ensure there's a retry button on the recovery screen
5. Endure that the recovery is successful</t>
        </is>
      </c>
      <c r="D59" s="487" t="n"/>
      <c r="E59" s="445" t="inlineStr">
        <is>
          <t>UPDATE (2026-08-26): downgraded from Partial to Not Automatable after extensive live investigation (Maestro and Appium both). Root cause confirmed via CC_UPDATE_NEEDED's own Django MobileRecoveryMeasure admin record (id 14, /admin/ota/mobilerecoverymeasure/14/change/): the measure is version-gated (cc_all_versions unchecked, cc_version_min=2.45, cc_version_max=2.54) - it can only fire for a device running CommCare client 2.45-2.54, not the 2.64.1 client this suite tests against, so it was structurally impossible to trigger against the current release target regardless of retries. Also tried and confirmed NOT sufficient: 12 bounded logout+login retries (both frameworks); deleting the app's real commcare/install/ files via BrowserStack's Appium pull_folder/deleteFile (confirmed genuinely working - no adb/laptop connection needed at all - but had zero effect on the login-time check in every ordering tried: before first login, after login, after the chooser); a true app-process kill to test a real cold-start check isn't available at all via BrowserStack's Appium API (terminateApp/backgroundApp/pressKeyCode/adb shell force-stop all confirmed unavailable). Retry Recovery 1 (row 58) is left unchanged - its own adb-shell-run-as gap is a separate, already-documented item. Revisit either by dispatching against the OLD 2.45 client specifically (matching cc_update_needed_01/02's own established fix for this exact version-gate issue) or once real video evidence of the manual trigger sequence is available.</t>
        </is>
      </c>
      <c r="F59" s="445" t="n"/>
      <c r="H59" s="0" t="inlineStr">
        <is>
          <t>Not automatable</t>
        </is>
      </c>
      <c r="I59" s="672" t="inlineStr">
        <is>
          <t>No</t>
        </is>
      </c>
      <c r="J59" s="0" t="inlineStr">
        <is>
          <t>flows/recovery_measures/retry_recovery_02_network_toggle_retry.yaml</t>
        </is>
      </c>
    </row>
    <row r="60">
      <c r="A60" s="698" t="inlineStr">
        <is>
          <t>Recovery: Point Release</t>
        </is>
      </c>
      <c r="B60" s="638" t="n"/>
      <c r="C60" s="489" t="inlineStr">
        <is>
          <t>Specific mobile recovery page
App does not need a new version. Increment the recovery max version by 1</t>
        </is>
      </c>
      <c r="D60" s="445" t="inlineStr">
        <is>
          <t xml:space="preserve"> </t>
        </is>
      </c>
      <c r="E60" s="445" t="n"/>
      <c r="F60" s="445" t="n"/>
    </row>
    <row r="61">
      <c r="A61" s="470" t="inlineStr">
        <is>
          <t>Test Case ID</t>
        </is>
      </c>
      <c r="B61" s="470" t="inlineStr">
        <is>
          <t>Summary</t>
        </is>
      </c>
      <c r="C61" s="470" t="inlineStr">
        <is>
          <t>Steps</t>
        </is>
      </c>
      <c r="D61" s="441" t="inlineStr">
        <is>
          <t>Pass/Fail</t>
        </is>
      </c>
      <c r="E61" s="470" t="inlineStr">
        <is>
          <t>Notes</t>
        </is>
      </c>
      <c r="F61" s="470" t="n"/>
      <c r="H61" s="663" t="inlineStr">
        <is>
          <t>Maestro Automatability</t>
        </is>
      </c>
      <c r="I61" s="663" t="inlineStr">
        <is>
          <t>Automated?</t>
        </is>
      </c>
      <c r="J61" s="663" t="inlineStr">
        <is>
          <t>Flow File</t>
        </is>
      </c>
    </row>
    <row r="62">
      <c r="A62" s="445" t="inlineStr">
        <is>
          <t>CC Reinstall Needed 6</t>
        </is>
      </c>
      <c r="B62" s="445" t="inlineStr">
        <is>
          <t>Setup/Positive</t>
        </is>
      </c>
      <c r="C62" s="440" t="inlineStr">
        <is>
          <t>1. Download and install version 2.49.4 of CommCare
2. Install and log into the 'Recover: Point Release App'
(Linked here)
3. Verify you're able to log in and are not forced to update CommCare
(You may be prompted to voluntarily update, but selecting 'No' should allow you to bypass the prompt)
4. Submit the only form</t>
        </is>
      </c>
      <c r="D62" s="487" t="n"/>
      <c r="E62" s="445" t="inlineStr">
        <is>
          <t>Blocked - needs CommCare CLIENT APK v2.49.4 specifically; only v2.45 has been supplied to this repo (resources/commcare_2.45_release.apk).</t>
        </is>
      </c>
      <c r="F62" s="445" t="n"/>
      <c r="H62" s="0" t="inlineStr">
        <is>
          <t>Partial</t>
        </is>
      </c>
      <c r="I62" s="672" t="inlineStr">
        <is>
          <t>Yes</t>
        </is>
      </c>
      <c r="J62" s="0" t="inlineStr">
        <is>
          <t>hq_setup/recovery_measures/point_release_provisioning.json</t>
        </is>
      </c>
    </row>
    <row r="63">
      <c r="A63" s="445" t="inlineStr">
        <is>
          <t>CC Reinstall Needed 7</t>
        </is>
      </c>
      <c r="B63" s="445" t="inlineStr">
        <is>
          <t>Negative (cannot proceed)</t>
        </is>
      </c>
      <c r="C63" s="487" t="inlineStr">
        <is>
          <t>1. Uninstall CommCare and download 2.49.5
2. Install and log into the 'Recover: Point Release App'
3. Sync upon login and try to submit the only form
4. Verify user receives a message stating that CommCare needs to be updated</t>
        </is>
      </c>
      <c r="D63" s="487" t="n"/>
      <c r="E63" s="445" t="inlineStr">
        <is>
          <t>Blocked - needs CommCare CLIENT APK v2.49.5 specifically; only v2.45 has been supplied to this repo.</t>
        </is>
      </c>
      <c r="F63" s="445" t="n"/>
      <c r="H63" s="0" t="inlineStr">
        <is>
          <t>Partial</t>
        </is>
      </c>
      <c r="I63" s="672" t="inlineStr">
        <is>
          <t>Yes</t>
        </is>
      </c>
      <c r="J63" s="0" t="inlineStr">
        <is>
          <t>hq_setup/recovery_measures/point_release_provisioning.json</t>
        </is>
      </c>
    </row>
    <row r="64">
      <c r="A64" s="445" t="inlineStr">
        <is>
          <t>CC Reinstall Needed 8</t>
        </is>
      </c>
      <c r="B64" s="487" t="inlineStr">
        <is>
          <t>Can proceed with update to version in test</t>
        </is>
      </c>
      <c r="C64" s="487" t="inlineStr">
        <is>
          <t>1. Update to the CommCare version in test
2. Log into the 'Recover: Point Release App'
3. Sync upon login and try to submit the only form
4. Ensure you're able to do so</t>
        </is>
      </c>
      <c r="D64" s="487" t="n"/>
      <c r="E64" s="445" t="inlineStr">
        <is>
          <t>Confirmed passing live 2026-08-10 (twice, in separate runs).</t>
        </is>
      </c>
      <c r="F64" s="445" t="n"/>
      <c r="H64" s="0" t="inlineStr">
        <is>
          <t>Automatable</t>
        </is>
      </c>
      <c r="I64" s="672" t="inlineStr">
        <is>
          <t>Yes</t>
        </is>
      </c>
      <c r="J64" s="0" t="inlineStr">
        <is>
          <t>flows/recovery_measures/point_release_flow.yaml</t>
        </is>
      </c>
    </row>
    <row r="65">
      <c r="A65" s="698" t="inlineStr">
        <is>
          <t>Recovery: Heartbeat Test</t>
        </is>
      </c>
      <c r="B65" s="638" t="n"/>
      <c r="C65" s="489" t="inlineStr">
        <is>
          <t xml:space="preserve">Specific mobile recovery page
After updating the app, ensure the mobile recovery page's min/max app version correspond with the version of Test One </t>
        </is>
      </c>
      <c r="D65" s="445" t="inlineStr">
        <is>
          <t xml:space="preserve"> </t>
        </is>
      </c>
      <c r="E65" s="445" t="n"/>
      <c r="F65" s="445" t="n"/>
    </row>
    <row r="66">
      <c r="A66" s="470" t="inlineStr">
        <is>
          <t>Test Case ID</t>
        </is>
      </c>
      <c r="B66" s="470" t="inlineStr">
        <is>
          <t>Summary</t>
        </is>
      </c>
      <c r="C66" s="470" t="inlineStr">
        <is>
          <t>Steps</t>
        </is>
      </c>
      <c r="D66" s="441" t="inlineStr">
        <is>
          <t>Pass/Fail</t>
        </is>
      </c>
      <c r="E66" s="470" t="inlineStr">
        <is>
          <t>Notes</t>
        </is>
      </c>
      <c r="F66" s="470" t="n"/>
      <c r="H66" s="663" t="inlineStr">
        <is>
          <t>Maestro Automatability</t>
        </is>
      </c>
      <c r="I66" s="663" t="inlineStr">
        <is>
          <t>Automated?</t>
        </is>
      </c>
      <c r="J66" s="663" t="inlineStr">
        <is>
          <t>Flow File</t>
        </is>
      </c>
    </row>
    <row r="67">
      <c r="A67" s="497" t="inlineStr">
        <is>
          <t>Heartbeat Request Improvement 1</t>
        </is>
      </c>
      <c r="B67" s="497" t="inlineStr">
        <is>
          <t>Installation</t>
        </is>
      </c>
      <c r="C67" s="184" t="inlineStr">
        <is>
          <t>1. Access Heartbeat 2.51 test and install the version corresponding with the Test One release note (It should be marked as Released)
2. Ensure Test Two is marked In Test
3. Log into the app on mobile and submit a form</t>
        </is>
      </c>
      <c r="D67" s="487" t="n"/>
      <c r="E67" s="445" t="inlineStr">
        <is>
          <t>Confirmed passing live 2026-08-10.</t>
        </is>
      </c>
      <c r="F67" s="445" t="n"/>
      <c r="H67" s="0" t="inlineStr">
        <is>
          <t>Partial</t>
        </is>
      </c>
      <c r="I67" s="672" t="inlineStr">
        <is>
          <t>Yes</t>
        </is>
      </c>
      <c r="J67" s="0" t="inlineStr">
        <is>
          <t>hq_setup/recovery_measures/heartbeat_1_setup.json + flows/recovery_measures/heartbeat_01_setup_and_submit.yaml</t>
        </is>
      </c>
    </row>
    <row r="68">
      <c r="A68" s="497" t="inlineStr">
        <is>
          <t>Heartbeat Request Improvement 2</t>
        </is>
      </c>
      <c r="B68" s="499" t="inlineStr">
        <is>
          <t>Verifcation</t>
        </is>
      </c>
      <c r="C68" s="501" t="inlineStr">
        <is>
          <t>1. Return to the app on CCHQ
2. Mark Test Two as Released
3. Wait one hour and Logout
4. Relogin and ensure the recovery steps are initiated
5. Relogin and ensure that the app has been updated to the version corresponding with Test Two
6. Submit a form and ensure you're able to sync without issue</t>
        </is>
      </c>
      <c r="D68" s="487" t="n"/>
      <c r="E68" s="445" t="inlineStr">
        <is>
          <t>Step 3 requires waiting a full hour mid-test ('Wait one hour and Logout') - impractical for a CI/BrowserStack session (cost and time-limit reasons). Not a Maestro technical limitation, just an operationally prohibitive wait.</t>
        </is>
      </c>
      <c r="F68" s="445" t="n"/>
      <c r="H68" s="0" t="inlineStr">
        <is>
          <t>Not automatable</t>
        </is>
      </c>
      <c r="I68" s="671" t="inlineStr">
        <is>
          <t>N/A</t>
        </is>
      </c>
    </row>
  </sheetData>
  <mergeCells count="7">
    <mergeCell ref="A20:B20"/>
    <mergeCell ref="A30:B30"/>
    <mergeCell ref="A65:B65"/>
    <mergeCell ref="A60:B60"/>
    <mergeCell ref="A51:B51"/>
    <mergeCell ref="A44:B44"/>
    <mergeCell ref="A6:B6"/>
  </mergeCells>
  <conditionalFormatting sqref="D8:D18 D22:D28 D32:D43 D46:D50 D53:D59 D62:D64 D67:D68">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8 D22:D28 D32:D43 D46:D50 D53:D59 D62:D64 D67:D68"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A6" r:id="rId2"/>
    <hyperlink xmlns:r="http://schemas.openxmlformats.org/officeDocument/2006/relationships" ref="E42" r:id="rId3"/>
    <hyperlink xmlns:r="http://schemas.openxmlformats.org/officeDocument/2006/relationships" ref="C54" r:id="rId4"/>
    <hyperlink xmlns:r="http://schemas.openxmlformats.org/officeDocument/2006/relationships" ref="A60" r:id="rId5"/>
    <hyperlink xmlns:r="http://schemas.openxmlformats.org/officeDocument/2006/relationships" ref="C60" r:id="rId6"/>
    <hyperlink xmlns:r="http://schemas.openxmlformats.org/officeDocument/2006/relationships" ref="C62" r:id="rId7"/>
    <hyperlink xmlns:r="http://schemas.openxmlformats.org/officeDocument/2006/relationships" ref="A65" r:id="rId8"/>
    <hyperlink xmlns:r="http://schemas.openxmlformats.org/officeDocument/2006/relationships" ref="C65" r:id="rId9"/>
    <hyperlink xmlns:r="http://schemas.openxmlformats.org/officeDocument/2006/relationships" ref="C67" r:id="rId10"/>
    <hyperlink xmlns:r="http://schemas.openxmlformats.org/officeDocument/2006/relationships" ref="C68" r:id="rId11"/>
  </hyperlink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K62"/>
  <sheetViews>
    <sheetView workbookViewId="0">
      <selection activeCell="A1" sqref="A1"/>
    </sheetView>
  </sheetViews>
  <sheetFormatPr baseColWidth="8" defaultColWidth="17.29" defaultRowHeight="15" customHeight="1"/>
  <cols>
    <col width="28.57" customWidth="1" style="629" min="1" max="1"/>
    <col width="35.29" customWidth="1" style="629" min="2" max="2"/>
    <col width="89.43000000000001" customWidth="1" style="629" min="3" max="3"/>
    <col width="29.43" customWidth="1" style="629" min="5" max="5"/>
    <col width="40.43" customWidth="1" style="629" min="6" max="6"/>
  </cols>
  <sheetData>
    <row r="1">
      <c r="A1" s="536" t="inlineStr">
        <is>
          <t>Test Area:</t>
        </is>
      </c>
      <c r="B1" s="387" t="inlineStr">
        <is>
          <t xml:space="preserve">Final Check  </t>
        </is>
      </c>
      <c r="C1" s="638" t="n"/>
      <c r="D1" s="320" t="n"/>
      <c r="E1" s="430" t="n"/>
      <c r="F1" s="216" t="n"/>
    </row>
    <row r="2">
      <c r="A2" s="536" t="inlineStr">
        <is>
          <t>Summary:</t>
        </is>
      </c>
      <c r="B2" s="387" t="inlineStr">
        <is>
          <t>Final check of all forms in Basic Tests application.</t>
        </is>
      </c>
      <c r="C2" s="638" t="n"/>
      <c r="D2" s="320" t="n"/>
      <c r="E2" s="216" t="n"/>
      <c r="F2" s="216" t="n"/>
    </row>
    <row r="3">
      <c r="A3" s="536" t="inlineStr">
        <is>
          <t>Domain:</t>
        </is>
      </c>
      <c r="B3" s="699" t="inlineStr">
        <is>
          <t>QATEAM</t>
        </is>
      </c>
      <c r="C3" s="638" t="n"/>
      <c r="D3" s="320" t="n"/>
      <c r="E3" s="216" t="n"/>
      <c r="F3" s="216" t="n"/>
    </row>
    <row r="4">
      <c r="A4" s="536" t="inlineStr">
        <is>
          <t xml:space="preserve">Application: </t>
        </is>
      </c>
      <c r="B4" s="686" t="inlineStr">
        <is>
          <t>Basic Tests
Case Managements</t>
        </is>
      </c>
      <c r="C4" s="638" t="n"/>
      <c r="D4" s="320" t="inlineStr">
        <is>
          <t>Second app for save to case workflows</t>
        </is>
      </c>
      <c r="E4" s="216" t="n"/>
      <c r="F4" s="216" t="n"/>
    </row>
    <row r="5">
      <c r="A5" s="536" t="inlineStr">
        <is>
          <t>Prerequisites</t>
        </is>
      </c>
      <c r="B5" s="155" t="inlineStr">
        <is>
          <t>Install Test Plan - Setup 1 and Install Case ID 1, 2, 3 or 4</t>
        </is>
      </c>
      <c r="C5" s="638" t="n"/>
      <c r="D5" s="320" t="n"/>
      <c r="E5" s="216" t="n"/>
      <c r="F5" s="216" t="n"/>
    </row>
    <row r="6">
      <c r="A6" s="439" t="n"/>
      <c r="B6" s="332" t="n"/>
      <c r="C6" s="332" t="n"/>
      <c r="D6" s="333" t="n"/>
      <c r="E6" s="332" t="n"/>
      <c r="F6" s="216" t="n"/>
    </row>
    <row r="7">
      <c r="A7" s="537" t="inlineStr">
        <is>
          <t>Test Case ID</t>
        </is>
      </c>
      <c r="B7" s="537" t="inlineStr">
        <is>
          <t>Summary</t>
        </is>
      </c>
      <c r="C7" s="537" t="inlineStr">
        <is>
          <t>Steps</t>
        </is>
      </c>
      <c r="D7" s="537" t="inlineStr">
        <is>
          <t>Pass/Fail</t>
        </is>
      </c>
      <c r="E7" s="537" t="inlineStr">
        <is>
          <t>Notes</t>
        </is>
      </c>
      <c r="F7" s="441" t="inlineStr">
        <is>
          <t>Ticket ID</t>
        </is>
      </c>
      <c r="I7" s="0" t="inlineStr">
        <is>
          <t>Maestro Automatability</t>
        </is>
      </c>
      <c r="J7" s="0" t="inlineStr">
        <is>
          <t>Automated?</t>
        </is>
      </c>
      <c r="K7" s="0" t="inlineStr">
        <is>
          <t>Flow File</t>
        </is>
      </c>
    </row>
    <row r="8">
      <c r="A8" s="700" t="inlineStr">
        <is>
          <t>Basic Form Tests</t>
        </is>
      </c>
      <c r="B8" s="636" t="n"/>
      <c r="C8" s="636" t="n"/>
      <c r="D8" s="636" t="n"/>
      <c r="E8" s="636" t="n"/>
      <c r="F8" s="637" t="n"/>
    </row>
    <row r="9">
      <c r="A9" s="521" t="inlineStr">
        <is>
          <t>Question Types 1</t>
        </is>
      </c>
      <c r="B9" s="387" t="inlineStr">
        <is>
          <t>Question Types Form
Clearing single select</t>
        </is>
      </c>
      <c r="C9" s="387" t="inlineStr">
        <is>
          <t>1. Open CommCare.
2. Enter the username "test1" and password "123" and Log In
3. Verify that a message box pops up saying it's logging in
4. Verify you are directed to the CommCare home screen once successfully logged in.
5. Proceed to Start -&gt; Basic Form Tests -&gt; Question Types
6. Proceed through the form, answering questions as you go
7. Note multiple choice question: 'You should be able to choose only one answer here.'
Verify you can add an answer and then clear it and add another.
8. Remember the second answer you defined</t>
        </is>
      </c>
      <c r="D9" s="564" t="n"/>
      <c r="E9" s="387" t="n"/>
      <c r="F9" s="204" t="n"/>
      <c r="I9" s="0" t="inlineStr">
        <is>
          <t>Automatable</t>
        </is>
      </c>
      <c r="J9" s="0" t="inlineStr">
        <is>
          <t>Yes</t>
        </is>
      </c>
      <c r="K9" s="0" t="inlineStr">
        <is>
          <t>flows/form_submissions/question_types_01_03_answer_and_submit.yaml</t>
        </is>
      </c>
    </row>
    <row r="10">
      <c r="A10" s="521" t="inlineStr">
        <is>
          <t>Question Types 2</t>
        </is>
      </c>
      <c r="B10" s="387" t="inlineStr">
        <is>
          <t>Proceeding with question types</t>
        </is>
      </c>
      <c r="C10" s="387" t="inlineStr">
        <is>
          <t xml:space="preserve">1. Proceed through the form, answering questions as you go. 
2. Follow each question's prompt: If any errors or crashes are observed, note the question and report a ticket.
3. Submit the form at the end. 
4. Verify you are returned to the home screen. </t>
        </is>
      </c>
      <c r="D10" s="564" t="n"/>
      <c r="E10" s="387" t="n"/>
      <c r="F10" s="204" t="n"/>
      <c r="I10" s="0" t="inlineStr">
        <is>
          <t>Automatable</t>
        </is>
      </c>
      <c r="J10" s="0" t="inlineStr">
        <is>
          <t>Yes</t>
        </is>
      </c>
      <c r="K10" s="0" t="inlineStr">
        <is>
          <t>flows/form_submissions/question_types_01_03_answer_and_submit.yaml (same on-device path as Question Types 1 - see that file's header)</t>
        </is>
      </c>
    </row>
    <row r="11">
      <c r="A11" s="521" t="inlineStr">
        <is>
          <t>Question Types 3</t>
        </is>
      </c>
      <c r="B11" s="387" t="inlineStr">
        <is>
          <t>Verify question types</t>
        </is>
      </c>
      <c r="C11" s="387" t="inlineStr">
        <is>
          <t>1. Proceed to the Submit History page for the QAteam domain: https://www.commcarehq.org/a/qateam/reports/submit_history/ 
2. Search for the form you just submitted. 
3. Verify the information is correct. 
4. Verify there is multimedia attached to the form. 
5. Verify the form metadata (timestart, timeend, etc) is accurate.</t>
        </is>
      </c>
      <c r="D11" s="564" t="n"/>
      <c r="E11" s="387" t="n"/>
      <c r="F11" s="204" t="n"/>
      <c r="I11" s="0" t="inlineStr">
        <is>
          <t>Automatable</t>
        </is>
      </c>
      <c r="J11" s="0" t="inlineStr">
        <is>
          <t>Yes</t>
        </is>
      </c>
      <c r="K11" s="0" t="inlineStr">
        <is>
          <t>flows/form_submissions/question_types_01_03_answer_and_submit.yaml (same on-device path as Question Types 1 - see that file's header)</t>
        </is>
      </c>
    </row>
    <row r="12">
      <c r="A12" s="521" t="inlineStr">
        <is>
          <t>1MB Form 1</t>
        </is>
      </c>
      <c r="B12" s="387" t="inlineStr">
        <is>
          <t>Load measurement</t>
        </is>
      </c>
      <c r="C12" s="387" t="inlineStr">
        <is>
          <t>This test case and the next involve performance testing. Please find some method of timing actions before proceeding
1. Log into basic tests with username/password: Test1/123
2. On mobile access Basic Tests &gt; Basic Form Tests &gt; 1MB Fixture
3. Time how long it takes for the form to open on your device and enter it in the Pass/Fail column
4. Open a comment assigned to the QA team to evaluate the result</t>
        </is>
      </c>
      <c r="D12" s="387" t="n"/>
      <c r="E12" s="387" t="inlineStr">
        <is>
          <t>Not automatable: a real-time performance-timing measurement ('time how long it takes...') meant for a human with a stopwatch, then routed to the QA team for subjective evaluation - no defined pass/fail SLA for Maestro to assert against.</t>
        </is>
      </c>
      <c r="F12" s="204" t="n"/>
      <c r="I12" s="0" t="inlineStr">
        <is>
          <t>Not automatable</t>
        </is>
      </c>
      <c r="J12" s="0" t="inlineStr">
        <is>
          <t>N/A</t>
        </is>
      </c>
    </row>
    <row r="13">
      <c r="A13" s="521" t="inlineStr">
        <is>
          <t>1MB Form 2</t>
        </is>
      </c>
      <c r="B13" s="387" t="inlineStr">
        <is>
          <t>Submission measurement</t>
        </is>
      </c>
      <c r="C13" s="387" t="inlineStr">
        <is>
          <t>1. Continuing from the previous test case, select an answer and submit the form
2. Time how long it takes from pressing submit to CommCare mobile transitioning to the next screen</t>
        </is>
      </c>
      <c r="D13" s="387" t="n"/>
      <c r="E13" s="387" t="inlineStr">
        <is>
          <t>Not automatable: same real-time human-timed performance measurement as 1MB Form 1, with no defined pass/fail threshold to assert against.</t>
        </is>
      </c>
      <c r="F13" s="204" t="n"/>
      <c r="I13" s="0" t="inlineStr">
        <is>
          <t>Not automatable</t>
        </is>
      </c>
      <c r="J13" s="0" t="inlineStr">
        <is>
          <t>N/A</t>
        </is>
      </c>
    </row>
    <row r="14">
      <c r="A14" s="521" t="inlineStr">
        <is>
          <t>Appearance Attributes</t>
        </is>
      </c>
      <c r="B14" s="387" t="inlineStr">
        <is>
          <t>Verify special question types are functional</t>
        </is>
      </c>
      <c r="C14" s="387" t="inlineStr">
        <is>
          <t>1. Open CommCare.
2. Enter the username "test1" and password "123" and Log In
3. Verify that a message box pops up saying it's logging in
4. Verify you are directed to the CommCare home screen once successfully logged in.
5. Proceed to Start -&gt; Basic Form Tests -&gt; Appearance Attributes
6. Follow the prompts on each question
7. If you see any irregularities, errors or crashes, please report a ticket and mention the question that caused the error
8. Upon completion, submit the form</t>
        </is>
      </c>
      <c r="D14" s="564" t="n"/>
      <c r="E14" s="387" t="inlineStr">
        <is>
          <t>Downgraded from Automatable to Partial (2026-08-21, based on the flow file's own header) - flows/form_submissions/appearance_attributes_page_through_and_submit.yaml was itself downgraded 2026-08-08 after a real BrowserStack failure: the form has a third required image-only question with no stable selector, so full submission is out of scope; the file's own tags now read `partial`.</t>
        </is>
      </c>
      <c r="F14" s="204" t="n"/>
      <c r="I14" s="0" t="inlineStr">
        <is>
          <t>Partial</t>
        </is>
      </c>
      <c r="J14" s="0" t="inlineStr">
        <is>
          <t>Yes</t>
        </is>
      </c>
      <c r="K14" s="0" t="inlineStr">
        <is>
          <t>flows/form_submissions/appearance_attributes_page_through_and_submit.yaml</t>
        </is>
      </c>
    </row>
    <row r="15">
      <c r="A15" s="521" t="inlineStr">
        <is>
          <t xml:space="preserve">Groups </t>
        </is>
      </c>
      <c r="B15" s="387" t="inlineStr">
        <is>
          <t>Groups Form</t>
        </is>
      </c>
      <c r="C15" s="387" t="inlineStr">
        <is>
          <t>1. From the home screen, select Start -&gt; Basic Form Tests -&gt; Groups.
2. Proceed through this form following the instructions. Remember or write down the answers you chose as you will run through this form again.
3. Submit the form once you arrive at the end.
4. Repeat steps 1 through 3 once more, selecting different answers than what you chose in step 2.
5. Proceed to the Submit History page for the QAteam domain: https://www.commcarehq.org/a/qateam/reports/submit_history/
6. Search for the forms you just submitted.
7. Verify the form metadata (timestart, timeend, etc) is accurate.</t>
        </is>
      </c>
      <c r="D15" s="564" t="n"/>
      <c r="E15" s="521" t="n"/>
      <c r="F15" s="204" t="n"/>
      <c r="I15" s="0" t="inlineStr">
        <is>
          <t>Automatable</t>
        </is>
      </c>
      <c r="J15" s="0" t="inlineStr">
        <is>
          <t>Yes</t>
        </is>
      </c>
      <c r="K15" s="0" t="inlineStr">
        <is>
          <t>flows/form_submissions/groups_submit_twice_different_answers.yaml</t>
        </is>
      </c>
    </row>
    <row r="16">
      <c r="A16" s="521" t="inlineStr">
        <is>
          <t>Repeat Groups 1</t>
        </is>
      </c>
      <c r="B16" s="387" t="inlineStr">
        <is>
          <t>Repeats Form Progress Bar Shortens</t>
        </is>
      </c>
      <c r="C16" s="387" t="inlineStr">
        <is>
          <t>1. From the home screen, select Start -&gt; Basic Form Tests -&gt; Repeats
2. When prompted if you would like to add a repeat group, select +Add Group, twice
3. Verify that when a repeat group is added, the highlighted portion of the progress bar at the top of the screen shortens</t>
        </is>
      </c>
      <c r="D16" s="564" t="n"/>
      <c r="E16" s="521" t="inlineStr">
        <is>
          <t>Partial: the sheet's own verification here is largely a VISUAL judgment call (a progress bar visibly shortening/lengthening, turning green) - Maestro can assert specific text is visible (automated in flows/form_submissions/repeat_groups_01_05_add_and_submit.yaml) but has no API to inspect a view's rendered length or color, same documented gap as Menu Badges 3/4.</t>
        </is>
      </c>
      <c r="F16" s="204" t="n"/>
      <c r="I16" s="0" t="inlineStr">
        <is>
          <t>Partial</t>
        </is>
      </c>
      <c r="J16" s="0" t="inlineStr">
        <is>
          <t>Yes</t>
        </is>
      </c>
      <c r="K16" s="0" t="inlineStr">
        <is>
          <t>flows/form_submissions/repeat_groups_01_05_add_and_submit.yaml</t>
        </is>
      </c>
    </row>
    <row r="17">
      <c r="A17" s="521" t="inlineStr">
        <is>
          <t>Repeat Groups 2</t>
        </is>
      </c>
      <c r="B17" s="387" t="inlineStr">
        <is>
          <t>Repeats Form Progress Bar lengthens</t>
        </is>
      </c>
      <c r="C17" s="387" t="inlineStr">
        <is>
          <t>1. Continue in Repeats form
2. Upon the third time you're prompted, select Do Not Add
3. Verify that when a repeat group is not added, the highlighted portion of the progress bar at the top of the screen lengthens</t>
        </is>
      </c>
      <c r="D17" s="564" t="n"/>
      <c r="E17" s="521" t="inlineStr">
        <is>
          <t>Partial: same visual-progress-bar judgment gap as Repeat Groups 1 - flows/form_submissions/repeat_groups_01_05_add_and_submit.yaml covers the text-visible assertions.</t>
        </is>
      </c>
      <c r="F17" s="204" t="n"/>
      <c r="I17" s="0" t="inlineStr">
        <is>
          <t>Partial</t>
        </is>
      </c>
      <c r="J17" s="0" t="inlineStr">
        <is>
          <t>Yes</t>
        </is>
      </c>
      <c r="K17" s="0" t="inlineStr">
        <is>
          <t>flows/form_submissions/repeat_groups_01_05_add_and_submit.yaml</t>
        </is>
      </c>
    </row>
    <row r="18">
      <c r="A18" s="521" t="inlineStr">
        <is>
          <t>Repeat Groups 3</t>
        </is>
      </c>
      <c r="B18" s="387" t="inlineStr">
        <is>
          <t>Repeats Form Progress Bar changes</t>
        </is>
      </c>
      <c r="C18" s="387" t="inlineStr">
        <is>
          <t>1. Continue in Repeats form
2. Pause when you get to number question, "Enter a number here, then wait a couple seconds. Then, replace it with "1" and proceed."
3. Follow the instructions and advance
4. When at the next question, swipe backwards to return
5. Verify that the highlighted portion of the progress bar shortens when swiping back and lengthens when advancing</t>
        </is>
      </c>
      <c r="D18" s="564" t="n"/>
      <c r="E18" s="521" t="inlineStr">
        <is>
          <t>Partial: same visual-progress-bar judgment gap as Repeat Groups 1; this row's own 'swipe backwards, verify the bar shortens' step is a pure navigation round-trip with no effect on submitted data, so it's covered without needing the visual assertion.</t>
        </is>
      </c>
      <c r="F18" s="204" t="n"/>
      <c r="I18" s="0" t="inlineStr">
        <is>
          <t>Partial</t>
        </is>
      </c>
      <c r="J18" s="0" t="inlineStr">
        <is>
          <t>Yes</t>
        </is>
      </c>
      <c r="K18" s="0" t="inlineStr">
        <is>
          <t>flows/form_submissions/repeat_groups_01_05_add_and_submit.yaml</t>
        </is>
      </c>
    </row>
    <row r="19">
      <c r="A19" s="521" t="inlineStr">
        <is>
          <t>Repeat Groups 4</t>
        </is>
      </c>
      <c r="B19" s="387" t="inlineStr">
        <is>
          <t>Progress Bar changes to Finish when complete</t>
        </is>
      </c>
      <c r="C19" s="386" t="inlineStr">
        <is>
          <t>1. Continue in Repeats form
2. Proceed through the rest of this form following the remaining instructions and answering questions
3. Verify the progress bar changes from blue to green and the word "FINISH" appears when the form is complete
4. Press FINISH and submit the form</t>
        </is>
      </c>
      <c r="D19" s="564" t="n"/>
      <c r="E19" s="521" t="inlineStr">
        <is>
          <t>Partial: same visual-progress-bar judgment gap as Repeat Groups 1, for the final 'FINISH' text state - flows/form_submissions/repeat_groups_01_05_add_and_submit.yaml asserts the text, not the bar's color/length.</t>
        </is>
      </c>
      <c r="F19" s="204" t="n"/>
      <c r="I19" s="0" t="inlineStr">
        <is>
          <t>Partial</t>
        </is>
      </c>
      <c r="J19" s="0" t="inlineStr">
        <is>
          <t>Yes</t>
        </is>
      </c>
      <c r="K19" s="0" t="inlineStr">
        <is>
          <t>flows/form_submissions/repeat_groups_01_05_add_and_submit.yaml</t>
        </is>
      </c>
    </row>
    <row r="20">
      <c r="A20" s="521" t="inlineStr">
        <is>
          <t>Repeat Groups 5</t>
        </is>
      </c>
      <c r="B20" s="387" t="inlineStr">
        <is>
          <t>Submit History verification</t>
        </is>
      </c>
      <c r="C20" s="448" t="inlineStr">
        <is>
          <t>1. Proceed to the Submit History page for the QAteam domain: https://www.commcarehq.org/a/qateam/reports/submit_history/
2. Search for the forms you just submitted. 
3. Verify the information is correct. 
4. Verify the form metadata (timestart, timeend, etc) is accurate.</t>
        </is>
      </c>
      <c r="D20" s="564" t="n"/>
      <c r="E20" s="521" t="inlineStr">
        <is>
          <t>Automated via scripts/verify_submission.py --username test1 --form-path Repeats (already-existing infra, now wired to this row): finds the most recent Repeats submission on Submit History and checks its Form Metadata (timeStart/timeEnd/etc.) is present and internally consistent (timeEnd &gt;= timeStart). Mechanism verified live 2026-08-27 against a real recent submission (a different form, same code path) - a fresh Repeats submission wasn't available in the last-20 search window at verification time, so re-confirm against this exact form the next time repeat_groups_01_05_add_and_submit.yaml runs.</t>
        </is>
      </c>
      <c r="F20" s="204" t="n"/>
      <c r="I20" s="0" t="inlineStr">
        <is>
          <t>Automatable</t>
        </is>
      </c>
      <c r="J20" s="0" t="inlineStr">
        <is>
          <t>Yes</t>
        </is>
      </c>
      <c r="K20" s="0" t="inlineStr">
        <is>
          <t>flows/form_submissions/repeat_groups_01_05_add_and_submit.yaml + scripts/verify_submission.py --username test1 --form-path Repeats</t>
        </is>
      </c>
    </row>
    <row r="21">
      <c r="A21" s="521" t="inlineStr">
        <is>
          <t>Markdown</t>
        </is>
      </c>
      <c r="B21" s="387" t="inlineStr">
        <is>
          <t>Markdown Form</t>
        </is>
      </c>
      <c r="C21" s="387" t="inlineStr">
        <is>
          <t>1. From the home screen, select Start -&gt; Basic Form Tests -&gt; Markdown.
2. Proceed through this form following the instructions and answering questions. Confirm the markdown text is working as expected based on https://confluence.dimagi.com/display/commcarepublic/Text+Formatting
3. Submit the form once you arrive at the end.
4. Proceed to the Submit History page for the QAteam domain: https://www.commcarehq.org/a/qateam/reports/submit_history/
5. Search for the forms you just submitted.
6. Verify the information is correct.
7. Verify the form metadata (timestart, timeend, etc) is accurate.</t>
        </is>
      </c>
      <c r="D21" s="564" t="n"/>
      <c r="E21" s="521" t="inlineStr">
        <is>
          <t>Steps 1-3 (on-device navigation + submit) automated in flows/form_submissions/markdown_page_through_and_submit.yaml. Steps 4-7 (Submit History metadata verification) closed 2026-09-01 via scripts/run_form_submission_history_check.py --test-name markdown --username test1 --form-path-contains Markdown (find_recent_submission + get_form_metadata, confirmed live against a real submission - timeStart/timeEnd both present and sane). The rendered-markdown visual-quality check (step 2) stays a documented gap - no text/accessibility-tree equivalent Maestro can assert.</t>
        </is>
      </c>
      <c r="F21" s="204" t="n"/>
      <c r="I21" s="0" t="inlineStr">
        <is>
          <t>Partial</t>
        </is>
      </c>
      <c r="J21" s="0" t="inlineStr">
        <is>
          <t>Yes</t>
        </is>
      </c>
      <c r="K21" s="0" t="inlineStr">
        <is>
          <t>flows/form_submissions/markdown_page_through_and_submit.yaml</t>
        </is>
      </c>
    </row>
    <row r="22">
      <c r="A22" s="521" t="inlineStr">
        <is>
          <t>Clean Form Submission 1</t>
        </is>
      </c>
      <c r="B22" s="451" t="inlineStr">
        <is>
          <t>Setup</t>
        </is>
      </c>
      <c r="C22" s="451" t="inlineStr">
        <is>
          <t>1. Proceed to www.commcarehq.org/a/qateam/reports/submit_history
2. Set the date range to include your previous submissions from the Question Types Form, Groups Form, Repeats Form, and Markdown Form test case submissions. 
3. Select Apply
4. Select View Form for one of the submissions mentioned in step 2.
5. Select the Form Metadata tab. 
6. Screenshot the Metadata from this tab. You will need use this data for comparison purposes soon.</t>
        </is>
      </c>
      <c r="D22" s="564" t="n"/>
      <c r="E22" s="452" t="inlineStr">
        <is>
          <t>Not automatable: entirely an HQ web-UI task (browse Submit History, open Form Metadata, screenshot it for later comparison) - not an on-device mobile action, and the comparison itself is a manual screenshot-vs-screenshot judgment.</t>
        </is>
      </c>
      <c r="F22" s="204" t="n"/>
      <c r="I22" s="0" t="inlineStr">
        <is>
          <t>Not automatable</t>
        </is>
      </c>
      <c r="J22" s="0" t="inlineStr">
        <is>
          <t>N/A</t>
        </is>
      </c>
    </row>
    <row r="23">
      <c r="A23" s="521" t="inlineStr">
        <is>
          <t>Clean Form Submission 2</t>
        </is>
      </c>
      <c r="B23" s="451" t="inlineStr">
        <is>
          <t>Edit Form</t>
        </is>
      </c>
      <c r="C23" s="451" t="inlineStr">
        <is>
          <t>1. Select the Form Properties tab.
2. Select 'Clean form submission'
3. Alter one of the questions in the form. 
4. Save the change
5. After saving, ensure the modal closes and you remain on the form properties page</t>
        </is>
      </c>
      <c r="D23" s="564" t="n"/>
      <c r="E23" s="452" t="inlineStr">
        <is>
          <t>Not automatable: entirely an HQ web-UI task - editing a question in HQ's own Form Builder (Form Properties tab), not the CommCare Android app.</t>
        </is>
      </c>
      <c r="F23" s="204" t="n"/>
      <c r="I23" s="0" t="inlineStr">
        <is>
          <t>Not automatable</t>
        </is>
      </c>
      <c r="J23" s="0" t="inlineStr">
        <is>
          <t>N/A</t>
        </is>
      </c>
    </row>
    <row r="24">
      <c r="A24" s="521" t="inlineStr">
        <is>
          <t>Clean Form Submission 3</t>
        </is>
      </c>
      <c r="B24" s="451" t="inlineStr">
        <is>
          <t>Verify Edits</t>
        </is>
      </c>
      <c r="C24" s="451" t="inlineStr">
        <is>
          <t xml:space="preserve">1. Select the Form Metadata tab. 
2. Verify the following:
      - The last sync token now displays '---'
      - Everything else remains the same. In particular, make sure the timeStart and timeEnd dates remain the same. </t>
        </is>
      </c>
      <c r="D24" s="564" t="n"/>
      <c r="E24" s="452" t="inlineStr">
        <is>
          <t>Not automatable: verifying Form Metadata's last-sync-token and timeStart/timeEnd values is another HQ web-UI comparison against the Clean Form Submission 1 screenshot - not an on-device action.</t>
        </is>
      </c>
      <c r="F24" s="454" t="inlineStr">
        <is>
          <t>This support FF will enable user to see the last sync token.</t>
        </is>
      </c>
      <c r="I24" s="0" t="inlineStr">
        <is>
          <t>Not automatable</t>
        </is>
      </c>
      <c r="J24" s="0" t="inlineStr">
        <is>
          <t>N/A</t>
        </is>
      </c>
    </row>
    <row r="25">
      <c r="A25" s="455" t="inlineStr">
        <is>
          <t>Locations</t>
        </is>
      </c>
      <c r="B25" s="468" t="inlineStr">
        <is>
          <t>Locations Form</t>
        </is>
      </c>
      <c r="C25" s="468" t="inlineStr">
        <is>
          <t>1. Open CommCare and login to the Basic Tests app as test1, 123
2. Proceed to Start -&gt; Basic Form Tests -&gt; Question Types
3. Proceed through the form, verifying answers as you go
4. Each question will inform you which default value will appear
5. Mark as fail and open a ticket if any question does not display the correct default value</t>
        </is>
      </c>
      <c r="D25" s="564" t="n"/>
      <c r="E25" s="204" t="inlineStr">
        <is>
          <t>Partial: the row's real point is 'verify default location values appear per question' - Maestro can assert that some text is visible (flows/form_submissions/locations_default_values_via_question_types.yaml) but has no way to know the CORRECT expected default value for each question without that expectation being specified anywhere in this repo.</t>
        </is>
      </c>
      <c r="F25" s="204" t="n"/>
      <c r="I25" s="0" t="inlineStr">
        <is>
          <t>Partial</t>
        </is>
      </c>
      <c r="J25" s="0" t="inlineStr">
        <is>
          <t>Yes</t>
        </is>
      </c>
      <c r="K25" s="0" t="inlineStr">
        <is>
          <t>flows/form_submissions/locations_default_values_via_question_types.yaml</t>
        </is>
      </c>
    </row>
    <row r="26">
      <c r="A26" s="455" t="inlineStr">
        <is>
          <t>Minimize Duplicate</t>
        </is>
      </c>
      <c r="B26" s="468" t="inlineStr">
        <is>
          <t>Minimize Duplicate Menu</t>
        </is>
      </c>
      <c r="C26" s="468" t="inlineStr">
        <is>
          <t>1. Open Basic Tests app
2. Go to Menu Minimize Duplicates
3. Create a Case using the button displayed on the Case List
4. Submit follow up form Create a Sub Case to create one
4. Open Minimize Duplicates &gt; View Case's Sub Case
5. Ensure that you see the sub case created
6. Update Case using the button displayed on the Case List
7. Ensure that the parent case's case properties are updated. (You can check this in case list report)</t>
        </is>
      </c>
      <c r="D26" s="564" t="n"/>
      <c r="E26" s="456" t="inlineStr">
        <is>
          <t>Partial: the sheet's last step ('verify parent case properties update') needs opening a case-list/case-detail report to visually confirm updated values against this app's own configured display columns, which couldn't be verified against any source in this repo (no live device access) - flows/form_submissions/minimize_duplicate_create_subcase_update_case.yaml covers the create/update mechanics.</t>
        </is>
      </c>
      <c r="F26" s="204" t="n"/>
      <c r="I26" s="0" t="inlineStr">
        <is>
          <t>Partial</t>
        </is>
      </c>
      <c r="J26" s="0" t="inlineStr">
        <is>
          <t>Yes</t>
        </is>
      </c>
      <c r="K26" s="0" t="inlineStr">
        <is>
          <t>flows/form_submissions/minimize_duplicate_create_subcase_update_case.yaml</t>
        </is>
      </c>
    </row>
    <row r="27">
      <c r="A27" s="521" t="inlineStr">
        <is>
          <t>Incomplete Forms 1</t>
        </is>
      </c>
      <c r="B27" s="451" t="inlineStr">
        <is>
          <t>Question Types Incomplete</t>
        </is>
      </c>
      <c r="C27" s="451" t="inlineStr">
        <is>
          <t>1. Log into mobile as test1, 1234 (or 123)
2. Go to Question Types and fill in only a portion of the form
3. Press back and save the form as incomplete
4. Navigate back to the App's home screen</t>
        </is>
      </c>
      <c r="D27" s="564" t="n"/>
      <c r="E27" s="452" t="n"/>
      <c r="F27" s="204" t="n"/>
      <c r="I27" s="0" t="inlineStr">
        <is>
          <t>Automatable</t>
        </is>
      </c>
      <c r="J27" s="0" t="inlineStr">
        <is>
          <t>Yes</t>
        </is>
      </c>
      <c r="K27" s="0" t="inlineStr">
        <is>
          <t>flows/form_submissions/incomplete_forms_01_03_save_resume_submit.yaml</t>
        </is>
      </c>
    </row>
    <row r="28">
      <c r="A28" s="521" t="inlineStr">
        <is>
          <t>Incomplete Forms 2</t>
        </is>
      </c>
      <c r="B28" s="468" t="inlineStr">
        <is>
          <t>Finding incomplete form</t>
        </is>
      </c>
      <c r="C28" s="468" t="inlineStr">
        <is>
          <t>1. From the home screen select incomplete forms
2. Ensure you can find the incomplete form from Incomplete Forms 1
3. Select it and enter the form
4. Verify your previous answers have been saved and you pick up where you left off
5. Fill out a couple more questions
6. Press back and save the form incomplete once more
7. Navigate back to the App's home screen</t>
        </is>
      </c>
      <c r="D28" s="564" t="n"/>
      <c r="E28" s="457" t="n"/>
      <c r="F28" s="204" t="n"/>
      <c r="I28" s="0" t="inlineStr">
        <is>
          <t>Automatable</t>
        </is>
      </c>
      <c r="J28" s="0" t="inlineStr">
        <is>
          <t>Yes</t>
        </is>
      </c>
      <c r="K28" s="0" t="inlineStr">
        <is>
          <t>flows/form_submissions/incomplete_forms_01_03_save_resume_submit.yaml</t>
        </is>
      </c>
    </row>
    <row r="29">
      <c r="A29" s="521" t="inlineStr">
        <is>
          <t>Incomplete Forms 3</t>
        </is>
      </c>
      <c r="B29" s="468" t="inlineStr">
        <is>
          <t>Submitting incomplete forms</t>
        </is>
      </c>
      <c r="C29" s="468" t="inlineStr">
        <is>
          <t>1. From the home screen select incomplete forms
2. Ensure you can find the incomplete form referenced previously
3. Select it and enter the form
4. Verify your previous answers have been saved and you pick up where you left off
5. Submit the form</t>
        </is>
      </c>
      <c r="D29" s="564" t="n"/>
      <c r="E29" s="457" t="n"/>
      <c r="F29" s="204" t="n"/>
      <c r="I29" s="0" t="inlineStr">
        <is>
          <t>Automatable</t>
        </is>
      </c>
      <c r="J29" s="0" t="inlineStr">
        <is>
          <t>Yes</t>
        </is>
      </c>
      <c r="K29" s="0" t="inlineStr">
        <is>
          <t>flows/form_submissions/incomplete_forms_01_03_save_resume_submit.yaml</t>
        </is>
      </c>
    </row>
    <row r="30">
      <c r="A30" s="521" t="inlineStr">
        <is>
          <t>Incomplete Forms 4</t>
        </is>
      </c>
      <c r="B30" s="461" t="inlineStr">
        <is>
          <t>Incomplete form verification</t>
        </is>
      </c>
      <c r="C30" s="468" t="inlineStr">
        <is>
          <t>1. Log into CommCareHQ and access the Submit History report
2. Locate the submitted form from the Incomplete Forms suite of tests
3. Ensure the form is indeed complete and that your answers are as you submitted them</t>
        </is>
      </c>
      <c r="D30" s="564" t="n"/>
      <c r="E30" s="457" t="inlineStr">
        <is>
          <t>Closed 2026-09-01 via scripts/run_form_submission_history_check.py --test-name incomplete_forms_4 --username test1 --form-path-contains "Question Types" (NOT "Incomplete" - confirmed live that Incomplete is only the home-screen resume-card label, the real Submit History breadcrumb is [Master] Basic Tests &gt; Basic Form Tests &gt; Question Types, per incomplete_forms_01_03_save_resume_submit.yaml own form-path citation). find_recent_submission + get_form_metadata confirmed live against the real submission - timeStart/timeEnd present, sane, and matching the actual dispatch window.</t>
        </is>
      </c>
      <c r="F30" s="204" t="n"/>
      <c r="I30" s="0" t="inlineStr">
        <is>
          <t>Automatable</t>
        </is>
      </c>
      <c r="J30" s="0" t="inlineStr">
        <is>
          <t>Yes</t>
        </is>
      </c>
      <c r="K30" s="0" t="inlineStr">
        <is>
          <t>flows/form_submissions/incomplete_forms_01_03_save_resume_submit.yaml</t>
        </is>
      </c>
    </row>
    <row r="31">
      <c r="A31" s="521" t="inlineStr">
        <is>
          <t>Incomplete Forms 5</t>
        </is>
      </c>
      <c r="B31" s="387" t="inlineStr">
        <is>
          <t>Form Summary Text for Survey</t>
        </is>
      </c>
      <c r="C31" s="451" t="inlineStr">
        <is>
          <t>1. Access Basic Tests app
2. Go to Basic Form Tests and fill in the name
3. Press back and save the form as incomplete
4. Navigate back to the App's home screen and select incomplete forms
5. Ensure that for the incomplete form that you just saved you can see the form summary and the name entered below the form. You should also see the time when form was saved.
6. Select it and verify your previous answers have been saved and you pick up where you left off
7. Submit the form and verify the form submission reflects on the submit history</t>
        </is>
      </c>
      <c r="D31" s="459" t="n"/>
      <c r="E31" s="457" t="n"/>
      <c r="F31" s="204" t="n"/>
      <c r="I31" s="0" t="inlineStr">
        <is>
          <t>Automatable</t>
        </is>
      </c>
      <c r="J31" s="0" t="inlineStr">
        <is>
          <t>Yes</t>
        </is>
      </c>
      <c r="K31" s="0" t="inlineStr">
        <is>
          <t>flows/form_submissions/incomplete_forms_05_06_list_summary_and_timestamp.yaml</t>
        </is>
      </c>
    </row>
    <row r="32">
      <c r="A32" s="521" t="inlineStr">
        <is>
          <t>Incomplete Forms 6</t>
        </is>
      </c>
      <c r="B32" s="387" t="inlineStr">
        <is>
          <t>Form Summary Text for Case List</t>
        </is>
      </c>
      <c r="C32" s="451" t="inlineStr">
        <is>
          <t>1. Access Basic Tests app
2. Go to Case Tests &gt; Create a Case and fill in the name
3. Press back and save the form as incomplete
4. Navigate back to the App's home screen and select incomplete forms
5. Ensure that for the incomplete form that you just saved you can see the form summary and the name entered below the form. You should also see the time when form was saved.
6. Select it and verify your previous answers have been saved and you pick up where you left off
7. Submit the form and verify the form submission reflects on the submit history</t>
        </is>
      </c>
      <c r="D32" s="459" t="n"/>
      <c r="E32" s="457" t="n"/>
      <c r="F32" s="204" t="n"/>
      <c r="I32" s="0" t="inlineStr">
        <is>
          <t>Automatable</t>
        </is>
      </c>
      <c r="J32" s="0" t="inlineStr">
        <is>
          <t>Yes</t>
        </is>
      </c>
      <c r="K32" s="0" t="inlineStr">
        <is>
          <t>flows/form_submissions/incomplete_forms_05_06_list_summary_and_timestamp.yaml</t>
        </is>
      </c>
    </row>
    <row r="33">
      <c r="A33" s="455" t="inlineStr">
        <is>
          <t>Case Name Size 1</t>
        </is>
      </c>
      <c r="B33" s="461" t="inlineStr">
        <is>
          <t>Ensure warning appears on large case names</t>
        </is>
      </c>
      <c r="C33" s="468" t="inlineStr">
        <is>
          <t>1. Access Basic Tests, Case Tests, Register a case
2. Attempt to register a case whose name is greater than 255 chars long
(It may be simpler to paste a block of text for the name prompt)
3. Attempt to submit the form
4. Verify a warning about the case's name appears</t>
        </is>
      </c>
      <c r="D33" s="459" t="n"/>
      <c r="E33" s="457" t="n"/>
      <c r="F33" s="204" t="n"/>
      <c r="I33" s="0" t="inlineStr">
        <is>
          <t>Automatable</t>
        </is>
      </c>
      <c r="J33" s="0" t="inlineStr">
        <is>
          <t>Yes</t>
        </is>
      </c>
      <c r="K33" s="0" t="inlineStr">
        <is>
          <t>flows/form_submissions/case_name_size_01_02_length_warning_and_not_saved.yaml</t>
        </is>
      </c>
    </row>
    <row r="34">
      <c r="A34" s="455" t="inlineStr">
        <is>
          <t>Case Name Size 2</t>
        </is>
      </c>
      <c r="B34" s="461" t="inlineStr">
        <is>
          <t>Submission will not be saved</t>
        </is>
      </c>
      <c r="C34" s="468" t="inlineStr">
        <is>
          <t>1. From the home screen, navigate to Saved Forms
2. Ensure the most recent submission with the case name above 255 chars is not present in Saved Forms</t>
        </is>
      </c>
      <c r="D34" s="459" t="n"/>
      <c r="E34" s="457" t="n"/>
      <c r="F34" s="204" t="n"/>
      <c r="I34" s="0" t="inlineStr">
        <is>
          <t>Automatable</t>
        </is>
      </c>
      <c r="J34" s="0" t="inlineStr">
        <is>
          <t>Yes</t>
        </is>
      </c>
      <c r="K34" s="0" t="inlineStr">
        <is>
          <t>flows/form_submissions/case_name_size_01_02_length_warning_and_not_saved.yaml</t>
        </is>
      </c>
    </row>
    <row r="35">
      <c r="A35" s="455" t="inlineStr">
        <is>
          <t>Unsent Form 1</t>
        </is>
      </c>
      <c r="B35" s="461" t="inlineStr">
        <is>
          <t>Unsynced Time Limit</t>
        </is>
      </c>
      <c r="C35" s="497" t="inlineStr">
        <is>
          <t xml:space="preserve">1. Turn off the mobile data or wifi you're conected to
2. Open CommCare Application
3. Login to the Basic Test application
4. Select Start
5. Select the "Basic Form Tests" Module
6. Select "Basic Form"
7. On the first question, enter a name.
8. Submit the form
9. Change the device date to today+ 5days
10. Verify that the phone highlights the number of unsent forms in red warning text when application doesn't syncing with the server for more than 5 days </t>
        </is>
      </c>
      <c r="D35" s="459" t="n"/>
      <c r="E35" s="457" t="inlineStr">
        <is>
          <t>Not automatable: requires changing the device's SYSTEM CLOCK forward by 5 days - device-clock manipulation is a confirmed dead end on BrowserStack's real-device cloud (same limitation noted across the Non-Core workflow inventory).</t>
        </is>
      </c>
      <c r="F35" s="462" t="n"/>
      <c r="I35" s="0" t="inlineStr">
        <is>
          <t>Not automatable</t>
        </is>
      </c>
      <c r="J35" s="0" t="inlineStr">
        <is>
          <t>N/A</t>
        </is>
      </c>
    </row>
    <row r="36">
      <c r="A36" s="455" t="inlineStr">
        <is>
          <t>Unsent Form 2</t>
        </is>
      </c>
      <c r="B36" s="461" t="inlineStr">
        <is>
          <t>Unsent Form Limit</t>
        </is>
      </c>
      <c r="C36" s="497" t="inlineStr">
        <is>
          <t xml:space="preserve">1. Continuing from the above test case, change the device dat back to today's date
2. Verify the Unsent form text isn't highlighted in red anymore
4. Now Select Start
5. Select the "Basic Form Tests" Module
6. Select "Basic Form"
7. On the first question, enter a name.
8. Submit the form
9. Repeat step 4 through 8 and Submit 5 more forms
10. Verify that the phone highlights the number of unsent forms in red warning text when number of unsent forms are more than 5 </t>
        </is>
      </c>
      <c r="D36" s="459" t="n"/>
      <c r="E36" s="457" t="inlineStr">
        <is>
          <t>Not automatable: depends on Unsent Form 1's own device-clock change, the same confirmed dead end.</t>
        </is>
      </c>
      <c r="F36" s="462" t="n"/>
      <c r="I36" s="0" t="inlineStr">
        <is>
          <t>Not automatable</t>
        </is>
      </c>
      <c r="J36" s="0" t="inlineStr">
        <is>
          <t>N/A</t>
        </is>
      </c>
    </row>
    <row r="37">
      <c r="A37" s="455" t="inlineStr">
        <is>
          <t>Multiple Submissions</t>
        </is>
      </c>
      <c r="B37" s="455" t="inlineStr">
        <is>
          <t>Multiple Submissions</t>
        </is>
      </c>
      <c r="C37" s="463" t="inlineStr">
        <is>
          <t>1. Select the "Basic Form Tests" Module
2. Select "Basic Form"
3. Submit the form multiple times, say 10-12 times
4. Now go run the app in the background and leave it for for 2 mins
5. Reopen the app
6. Ensure all forms have been synced automatically.</t>
        </is>
      </c>
      <c r="D37" s="459" t="n"/>
      <c r="E37" s="464" t="inlineStr">
        <is>
          <t>Existing Issue</t>
        </is>
      </c>
      <c r="F37" s="462" t="n"/>
      <c r="I37" s="0" t="inlineStr">
        <is>
          <t>Automatable</t>
        </is>
      </c>
      <c r="J37" s="0" t="inlineStr">
        <is>
          <t>Yes</t>
        </is>
      </c>
      <c r="K37" s="0" t="inlineStr">
        <is>
          <t>flows/form_submissions/multiple_submissions_10x_background_sync.yaml</t>
        </is>
      </c>
    </row>
    <row r="38">
      <c r="A38" s="700" t="inlineStr">
        <is>
          <t>Save-to-case</t>
        </is>
      </c>
      <c r="B38" s="636" t="n"/>
      <c r="C38" s="636" t="n"/>
      <c r="D38" s="636" t="n"/>
      <c r="E38" s="636" t="n"/>
      <c r="F38" s="637" t="n"/>
    </row>
    <row r="39">
      <c r="A39" s="455" t="inlineStr">
        <is>
          <t>Save-to-case-1</t>
        </is>
      </c>
      <c r="B39" s="461" t="inlineStr">
        <is>
          <t>Register a case</t>
        </is>
      </c>
      <c r="C39" s="465">
        <f>HYPERLINK("https://www.commcarehq.org/a/qateam/apps/view/ca82bb0c5cc043a781d96437ee83944b/releases/","1. Deploy Case Managements to mobile (linked)
2. Login into the app with test1/123.
3. Navigate to Save to case test Reg form.
4. Create a case and make a note of the values entered.")</f>
        <v/>
      </c>
      <c r="D39" s="564" t="n"/>
      <c r="E39" s="457" t="n"/>
      <c r="F39" s="204" t="n"/>
      <c r="I39" s="0" t="inlineStr">
        <is>
          <t>Automatable</t>
        </is>
      </c>
      <c r="J39" s="0" t="inlineStr">
        <is>
          <t>Yes</t>
        </is>
      </c>
      <c r="K39" s="0" t="inlineStr">
        <is>
          <t>flows/form_submissions/save_to_case_01_03_register_update_case_list.yaml</t>
        </is>
      </c>
    </row>
    <row r="40">
      <c r="A40" s="455" t="inlineStr">
        <is>
          <t>Save-to-case-2</t>
        </is>
      </c>
      <c r="B40" s="461" t="inlineStr">
        <is>
          <t>Update a case</t>
        </is>
      </c>
      <c r="C40" s="468" t="inlineStr">
        <is>
          <t>1. Now open the 'Save to case update' form.
2. Search the case you just created above.
3. Verify that the info entered in the registration form correspond with prepopulated data in the followup form.</t>
        </is>
      </c>
      <c r="D40" s="564" t="n"/>
      <c r="E40" s="457" t="n"/>
      <c r="F40" s="204" t="n"/>
      <c r="I40" s="0" t="inlineStr">
        <is>
          <t>Automatable</t>
        </is>
      </c>
      <c r="J40" s="0" t="inlineStr">
        <is>
          <t>Yes</t>
        </is>
      </c>
      <c r="K40" s="0" t="inlineStr">
        <is>
          <t>flows/form_submissions/save_to_case_01_03_register_update_case_list.yaml</t>
        </is>
      </c>
    </row>
    <row r="41">
      <c r="A41" s="455" t="inlineStr">
        <is>
          <t>Save-to-case-3</t>
        </is>
      </c>
      <c r="B41" s="461" t="inlineStr">
        <is>
          <t>Verify case list report</t>
        </is>
      </c>
      <c r="C41" s="465">
        <f>HYPERLINK("https://www.commcarehq.org/a/qateam/reports/submit_history/","1. Log into CommCareHQ and access the Case List report.
2. Open the case you just created above.
3. Verify info entered into the reg form correctly saved as case properties in Case List report.")</f>
        <v/>
      </c>
      <c r="D41" s="564" t="n"/>
      <c r="E41" s="457" t="n"/>
      <c r="F41" s="204" t="n"/>
      <c r="I41" s="0" t="inlineStr">
        <is>
          <t>Automatable</t>
        </is>
      </c>
      <c r="J41" s="0" t="inlineStr">
        <is>
          <t>Yes</t>
        </is>
      </c>
      <c r="K41" s="0" t="inlineStr">
        <is>
          <t>flows/form_submissions/save_to_case_01_03_register_update_case_list.yaml</t>
        </is>
      </c>
    </row>
    <row r="42">
      <c r="A42" s="701" t="inlineStr">
        <is>
          <t>File Upload Tests - Sample Media Files exist here</t>
        </is>
      </c>
      <c r="B42" s="636" t="n"/>
      <c r="C42" s="636" t="n"/>
      <c r="D42" s="636" t="n"/>
      <c r="E42" s="636" t="n"/>
      <c r="F42" s="637" t="n"/>
    </row>
    <row r="43">
      <c r="A43" s="455" t="inlineStr">
        <is>
          <t>upload_test_1</t>
        </is>
      </c>
      <c r="B43" s="461" t="inlineStr">
        <is>
          <t>Verify file uploads are successful with specific extensions that Commcare support</t>
        </is>
      </c>
      <c r="C43" s="468" t="inlineStr">
        <is>
          <t xml:space="preserve">1. Access Basic Tests app &gt; Upload Tests 
2. Open 'Upload Tests for specific file extensions' &gt; Proceed
3. Upload corresponding files with extensions as instructed in the questions. Files are in the folder linked in the header
4. Submit </t>
        </is>
      </c>
      <c r="D43" s="564" t="n"/>
      <c r="E43" s="457" t="inlineStr">
        <is>
          <t>Partial: flows/form_submissions/upload_test_01_specific_file_extensions.yaml covers the image/* upload questions via addMedia + the shared gallery-picker subflow. AUDIO questions are not coverable (no audio fixture file exists anywhere in this repo, and AudioWidget uses a plain file-browser intent, not the Photo Picker the image/video widgets use). VIDEO questions use the same Photo-Picker intent as images but have no video fixture committed either - both are marked PARTIAL/skipped for that reason, not a tooling limitation.</t>
        </is>
      </c>
      <c r="F43" s="564" t="inlineStr">
        <is>
          <t>NS: Check for all diff questions types and upload image, audio, video, document and signature. 
Note that we were unable to procure files with extension 3gp2, mpg4, qcp hence they are unavailable in the linked Media Files folder.
Feel free to skip these (or try and find at your level)</t>
        </is>
      </c>
      <c r="I43" s="0" t="inlineStr">
        <is>
          <t>Partial</t>
        </is>
      </c>
      <c r="J43" s="0" t="inlineStr">
        <is>
          <t>Yes</t>
        </is>
      </c>
      <c r="K43" s="0" t="inlineStr">
        <is>
          <t>flows/form_submissions/upload_test_01_specific_file_extensions.yaml</t>
        </is>
      </c>
    </row>
    <row r="44">
      <c r="A44" s="521" t="inlineStr">
        <is>
          <t>upload_test_2</t>
        </is>
      </c>
      <c r="B44" s="461" t="inlineStr">
        <is>
          <t>Validate files are present in HQ</t>
        </is>
      </c>
      <c r="C44" s="461" t="inlineStr">
        <is>
          <t>1. Log into CommCareHQ with your web user
2. Navigate to Reports --&gt; Submit History
3. Identify and open the submission from upload_test_1
4. Link it in the notes column
5. Verify that all multimedia uploads made in the previous test case are present in the form submission</t>
        </is>
      </c>
      <c r="D44" s="564" t="n"/>
      <c r="E44" s="94" t="inlineStr">
        <is>
          <t>Automated via scripts/verify_submission.py --username test1 --form-path "Upload Tests for specific" --require-multimedia. Verified live 2026-08-27: found the real upload_test_1 submission and confirmed has_multimedia=True from its Submit History metadata.</t>
        </is>
      </c>
      <c r="F44" s="204" t="n"/>
      <c r="I44" s="0" t="inlineStr">
        <is>
          <t>Automatable</t>
        </is>
      </c>
      <c r="J44" s="0" t="inlineStr">
        <is>
          <t>Yes</t>
        </is>
      </c>
      <c r="K44" s="0" t="inlineStr">
        <is>
          <t>scripts/verify_submission.py --username test1 --form-path "Upload Tests for specific" --require-multimedia</t>
        </is>
      </c>
    </row>
    <row r="45">
      <c r="A45" s="469" t="inlineStr">
        <is>
          <t>Geoservices</t>
        </is>
      </c>
      <c r="B45" s="471" t="n"/>
      <c r="C45" s="471" t="n"/>
      <c r="D45" s="472" t="n"/>
      <c r="E45" s="473" t="n"/>
      <c r="F45" s="474" t="n"/>
    </row>
    <row r="46">
      <c r="A46" s="521" t="inlineStr">
        <is>
          <t>Geoservice 1</t>
        </is>
      </c>
      <c r="B46" s="477" t="inlineStr">
        <is>
          <t>Default Map Tileset</t>
        </is>
      </c>
      <c r="C46" s="476" t="inlineStr">
        <is>
          <t>1. Open Basic Tests  
2. Go to Advanced settings and set the Default Map Tileset as 'Satellite'
3. Save and Publish a new version of the app
4. Install the new app version in the apk in test
5.  Login using test1/123
6. Open the forms with map views (Geoservices, Appearnace Attribute etc.)
7. Ensure all map views are sound and is displayed in the selected mode.
8. Uninstall the app
9.  Go to Advanced settings and set the  Default Map Tileset as 'Terrain
10. Repeat steps 3 to 6 and Ensure all map views are sound and is displayed in the selected mode.
11. Uninstall the app
12.  Go to Advanced settings and set the  Default Map Tileset as 'Hybrid'
13.  Repeat steps 3 to 6 and Ensure all map views are sound and is displayed in the selected mode.</t>
        </is>
      </c>
      <c r="D46" s="564" t="n"/>
      <c r="E46" s="477" t="inlineStr">
        <is>
          <t>This property will not update for user for App Updates (we don’t want to change the user experience on maps on App Updates). UPDATE (2026-09-16), investigated in depth (not just re-asserted), same category as Case Filters' own Case Lists 1/2 device-dependent visual-confirmation precedent: the tileset IS writable via a real HQ endpoint (cc-maps-default-layer, a named CommCare Profile Setting under app.profile.properties - a new write path would be needed since hq_client.py's existing set_custom_properties() targets a different dict), but on-device, the SELECTED tileset has no accessibility-tree signal anywhere (confirmed via commcare-android source: GeoPointMapActivity/EntityMapActivity just call GoogleMap.setMapType() with no Log/content-desc/resource-id exposing the active layer), and the SharedPreferences key that holds it is unreadable on this harness (adb_shell is disabled on BrowserStack's managed Appium server). A real map view IS already reached (unasserted) by the existing Partial appearance_attributes_page_through_and_submit.yaml flow. Given the actual tileset check has no reliable observable signal, the 3x publish/install/uninstall cycle against Basic Tests (the most shared app in this repo) isn't worth the blast radius for zero incremental confidence. See coverage/coverage_matrix.csv's Geoservice 1 row for the full citation. Stays Not automatable. UPDATE (2026-09-17), per direct user-supplied screenshots: re-scoped to the lower-blast-radius [Master] Basic Tests NS Copy!!! app instead of the main shared Basic Tests app. Built and verified live a real HQClient.set_app_properties()/get_app_properties() pair for the actual HQ endpoint (profile.properties, a true per-key merge - distinct from custom_properties, which replaces the whole dict; a bug in an early version silently wiped this app's custom_properties by omitting that key from the POST body, found and fixed, app state restored and independently re-verified). Confirmed NS Copy has the same appearance="maps" geopoint question ([Mobile] Appearance Attributes) as the main app, and verified the full write -&gt; new build -&gt; app-code install -&gt; login -&gt; open map pipeline end-to-end for one tileset (Terrain): map screen loads with no crash. This is real, useful verification tooling (scripts/appium_geoservice1_scenarios.py + scripts/run_geoservice1_suite.py) but NOT wired into CI - the core gap (no way to assert WHICH tileset is actually rendering) is unchanged and still genuinely unautomatable. Default Map Tileset restored to its original value (satellite) after testing.</t>
        </is>
      </c>
      <c r="F46" s="204" t="n"/>
      <c r="I46" s="0" t="inlineStr">
        <is>
          <t>Not automatable</t>
        </is>
      </c>
      <c r="J46" s="0" t="inlineStr">
        <is>
          <t>N/A</t>
        </is>
      </c>
    </row>
    <row r="47">
      <c r="A47" s="521" t="inlineStr">
        <is>
          <t>Geoservice 2</t>
        </is>
      </c>
      <c r="B47" s="477" t="inlineStr">
        <is>
          <t>Auto Capture Location (all forms)</t>
        </is>
      </c>
      <c r="C47" s="478" t="inlineStr">
        <is>
          <t xml:space="preserve">1. Login using test1/123
2. Submit any form
3. Go to Submit History&gt; View Form &gt; Raw XML
4. Ensure that a value in the location tag is captured (The first two are the latutude and longitude values)
5. Go to any GPS converter site and enter the latitude and longitide values
6. Verify it is your current location coordinates.
</t>
        </is>
      </c>
      <c r="D47" s="564" t="n"/>
      <c r="E47" s="94" t="inlineStr">
        <is>
          <t>Automated: per direct user clarification, this row's real bar is "some question on this form captured a real location", not the OpenRosa &lt;meta&gt; block's own separate automatic capture (confirmed live that stays empty even with a real GPS fix - a genuinely different, still-open product/config question, not what this row is actually asking). Flow switched to submit Geoservices &gt; Register Case (a real geopoint question) instead of the location-question-free Basic Form it used previously. scripts/verify_submission.py --require-geopoint-answer "Capture the case location." confirms a real "&lt;lat&gt; &lt;long&gt; ..." answer was captured - verified live 2026-09-15 against a real submission (19.1081114 73.0238931 -9.9 15.05).</t>
        </is>
      </c>
      <c r="F47" s="204" t="n"/>
      <c r="I47" s="0" t="inlineStr">
        <is>
          <t>Automatable</t>
        </is>
      </c>
      <c r="J47" s="0" t="inlineStr">
        <is>
          <t>Yes</t>
        </is>
      </c>
      <c r="K47" s="0" t="inlineStr">
        <is>
          <t>flows/form_submissions/geoservice_02_auto_capture_location_submit.yaml + scripts/verify_submission.py --username test1 --form-path "Register Case" --require-geopoint-answer "Capture the case location."</t>
        </is>
      </c>
    </row>
    <row r="48">
      <c r="A48" s="479" t="inlineStr">
        <is>
          <t>Secure Flag</t>
        </is>
      </c>
      <c r="B48" s="480" t="inlineStr">
        <is>
          <t>Support for Secure Flag</t>
        </is>
      </c>
      <c r="C48" s="481" t="inlineStr">
        <is>
          <t xml:space="preserve">1. Enable this FF for your test domain.
2. Go to the app settings by clicking the gear icon and go to Advance Settings tab.
3. In the Custom Properties section, set "cc-enable-android-window-secure-flag" to yes and save the changes. (You can refer to this test app on how to set it up.)
4. Release a new version of the app and install on your mobile.
5. Open CommCare app on your mobile. 
6. Go to homescreen. Open recent apps on you phone and ensure that user sees a blank page for commcare app. 
7. Naviagte to the commcare app and take a screenshot/record a video. The video or screenshot should be blank and no form data is visible to the user.
 </t>
        </is>
      </c>
      <c r="D48" s="564" t="n"/>
      <c r="E48" s="94" t="inlineStr">
        <is>
          <t>Not automatable: verifying a FLAG_SECURE-protected window renders blank requires a screenshot of the task-switcher/recent-apps preview - but FLAG_SECURE's whole purpose is blocking screenshot capture at the OS level, so any automated screenshot tool (Maestro's included) hits the same OS-level block a real screenshot would, leaving no way to programmatically confirm 'blank' versus 'not captured at all'.</t>
        </is>
      </c>
      <c r="F48" s="204" t="n"/>
      <c r="I48" s="0" t="inlineStr">
        <is>
          <t>Not automatable</t>
        </is>
      </c>
      <c r="J48" s="0" t="inlineStr">
        <is>
          <t>N/A</t>
        </is>
      </c>
    </row>
    <row r="49" ht="202.5" customHeight="1" s="629">
      <c r="A49" s="484" t="inlineStr">
        <is>
          <t>Certificate Transparency 1</t>
        </is>
      </c>
      <c r="B49" s="483" t="inlineStr">
        <is>
          <t>Certificate Transparency during Interception cannot get synced with server and submit the forms</t>
        </is>
      </c>
      <c r="C49" s="484" t="inlineStr">
        <is>
          <t>1.Navigate to Basic Test Application
2.login with user name -test and psw-123
3.Click on the 'Sync with Sever' option --&gt; user should see succesfully synced
3.Open the Http tool kit application on laptop
4.Go to the 'Andriod Device via QR code' --&gt; QR code should be visible 
4.Open the Http tool kit application on device ( if not available install from playstore)
5.Click on Scan OR code (from device http tool kit homescreen)
6. Scan the QR code shown in step4
7. In device Http tool kit shows status as 'Connected ' 
8.Go to Basic Test Application Homescreen --&gt;Basic Form Test -&gt; Basic Form -&gt; Fill the form and submit
9.Go back to Basic Test Application Homescreen -&gt; Click on 'Sync with server' option 
10. User should see 'Couldn't securely connect to the server' msg and form cannot be submitted to server (And also on Laptop Http tool kit logs it should show 'Certificate rejected for connection')</t>
        </is>
      </c>
      <c r="D49" s="485" t="n"/>
      <c r="E49" s="486" t="inlineStr">
        <is>
          <t>Not automatable: requires a separate laptop running a third-party HTTPS-interception tool (Http Toolkit), paired to the test device via QR code to man-in-the-middle its traffic - inherently a two-machine, external-desktop-tool setup no single BrowserStack cloud device session can provide.</t>
        </is>
      </c>
      <c r="F49" s="484" t="n"/>
      <c r="I49" s="0" t="inlineStr">
        <is>
          <t>Not automatable</t>
        </is>
      </c>
      <c r="J49" s="0" t="inlineStr">
        <is>
          <t>N/A</t>
        </is>
      </c>
    </row>
    <row r="50" ht="87.75" customHeight="1" s="629">
      <c r="A50" s="484" t="inlineStr">
        <is>
          <t>Certificate Transparency 2</t>
        </is>
      </c>
      <c r="B50" s="484" t="inlineStr">
        <is>
          <t xml:space="preserve">Certificate Transparency during no Interception application get synced with server and submit the forms </t>
        </is>
      </c>
      <c r="C50" s="484" t="inlineStr">
        <is>
          <t xml:space="preserve">1.Continue from above  
2.Go to device Http tool kit screen
3.Click on disconnect option
4.Go back to the Basic Test Application login screen
5.Click on the 'Sync with Server' option
6.User should see sync is succesfull and form is submitted to server </t>
        </is>
      </c>
      <c r="D50" s="485" t="n"/>
      <c r="E50" s="486" t="inlineStr">
        <is>
          <t>Not automatable: depends on Certificate Transparency 1's own two-machine Http Toolkit interception setup.</t>
        </is>
      </c>
      <c r="F50" s="484" t="n"/>
      <c r="I50" s="0" t="inlineStr">
        <is>
          <t>Not automatable</t>
        </is>
      </c>
      <c r="J50" s="0" t="inlineStr">
        <is>
          <t>N/A</t>
        </is>
      </c>
    </row>
    <row r="51" ht="156.75" customHeight="1" s="629">
      <c r="A51" s="484" t="inlineStr">
        <is>
          <t>Audio Recording 1</t>
        </is>
      </c>
      <c r="B51" s="484" t="inlineStr">
        <is>
          <t xml:space="preserve">For Andriod version 7+
- Audio recording in CommCare while another app is recording
should show message saying "Unable to start recording while another application is recording"
</t>
        </is>
      </c>
      <c r="C51" s="484" t="inlineStr">
        <is>
          <t>1.Ensure your device has voice recording installed (Suggested ones
Voice Recorder-Smart Mobil Tools  / Samsung Voice Recorder )
2.Ensure no active recording is 'ON' on the device
3.Install the Master[Basic Test] app on Device 
4.Start recording on Installed Voice recording app &amp; keep it ongoing
5.Go to Basic Test App &gt; Basic Form Tests &gt; Select 'Multimedia' only menu
6.Go to 'Audio record' question 
7.Click on the Mic start recording 
8.Commcare should not be able to start recording and show message saying 'Unable to start recording while another application is recording'</t>
        </is>
      </c>
      <c r="D51" s="485" t="n"/>
      <c r="E51" s="486" t="inlineStr">
        <is>
          <t>Not automatable: requires a separate, real third-party voice-recording app (e.g. Samsung Voice Recorder) installed and run concurrently with CommCare to test real hardware audio-focus arbitration - installing an arbitrary third-party app with no internal APK source is a confirmed hard limit of this pipeline (same class of gap as Third Party Scanner), compounded by device/OS-specific audio-focus behavior that's inherently flaky to assert on.</t>
        </is>
      </c>
      <c r="F51" s="484" t="n"/>
      <c r="I51" s="0" t="inlineStr">
        <is>
          <t>Not automatable</t>
        </is>
      </c>
      <c r="J51" s="0" t="inlineStr">
        <is>
          <t>N/A</t>
        </is>
      </c>
    </row>
    <row r="52" ht="185.25" customHeight="1" s="629">
      <c r="A52" s="484" t="inlineStr">
        <is>
          <t>Audio Recording 2</t>
        </is>
      </c>
      <c r="B52" s="484" t="inlineStr">
        <is>
          <t xml:space="preserve">For Andriod version 7+ 
- Audio recording in another app while CommCare is actively recording
-Here Commcare recording gets paused &amp; user gets notification informing recording is paused 
-Other app does not record but shows like recording and commcare continue recording 
</t>
        </is>
      </c>
      <c r="C52" s="484" t="inlineStr">
        <is>
          <t xml:space="preserve">1.Ensure your device has voice recording installed (Suggested ones
Voice Recorder-Smart Mobil Tools  / Samsung Voice Recorder )
2.Ensure no active recording is 'ON' on the device
3.Install the Master[Basic Test] app on Device 
4.Go to Basic Test App &gt; Basic Form Tests &gt; Select 'Multimedia' only menu
5.Go to 'Audio record' question &gt; Click on the Mic start recording 
6.Commcare starts recording 
7.Go to other recording app stated in step-1 &gt; Start Recording (here app shows like recording but does not capture voice when active recording is ongoing in commcare)
8.User gets Notification recording is paused 
9.Go back to commcare app where recording is ongoing and stop &gt; Save 
10.Play the recorded audio and ensure the audio/voice is been captured correctly 
11.Go to other app and play the recording here it does not captures the voice </t>
        </is>
      </c>
      <c r="D52" s="485" t="n"/>
      <c r="E52" s="486" t="inlineStr">
        <is>
          <t>Not automatable: same third-party-voice-recorder-app limitation as Audio Recording 1, reversed direction (other app records while CommCare is active).</t>
        </is>
      </c>
      <c r="F52" s="484" t="n"/>
      <c r="I52" s="0" t="inlineStr">
        <is>
          <t>Not automatable</t>
        </is>
      </c>
      <c r="J52" s="0" t="inlineStr">
        <is>
          <t>N/A</t>
        </is>
      </c>
    </row>
    <row r="53" ht="189" customHeight="1" s="629">
      <c r="A53" s="484" t="inlineStr">
        <is>
          <t>Audio Recording 3</t>
        </is>
      </c>
      <c r="B53" s="497" t="inlineStr">
        <is>
          <t>For Andriod version 6 &amp; prior
- Audio recording in CommCare while another app is recording
-Commcare should reject any attempt to record 
- rejection can be in any form-app crash, silent recording with/without a warning, an error message preventing the recording to start, etc</t>
        </is>
      </c>
      <c r="C53" s="490" t="inlineStr">
        <is>
          <t xml:space="preserve">1.Ensure your device has voice recording installed (Suggested ones
Voice Recorder-Smart Mobil Tools  / Samsung Voice Recorder )
2.Ensure no active recording is 'ON' on the device
3.Install the Master[Basic Test] app on Device 
4.Start recording on Installed Voice recording app &amp; keep it ongoing
5.Go to Basic Test App &gt; Basic Form Tests &gt; Select 'Multimedia' only menu
6.Go to 'Audio record' question 
7.Click on the Mic start recording 
8.Commcare should reject any recording in any form either app crash, silent recording with/without a warning, an error message preventing the recording to start, etc
Note:
For some device's OS supports recording in more than one App (execeptional case) in such case's user will find recording taking place in both CC &amp; recording device without any rejection and to be considered as Expected behavior </t>
        </is>
      </c>
      <c r="D53" s="485" t="n"/>
      <c r="E53" s="486" t="inlineStr">
        <is>
          <t>Not automatable: same third-party-voice-recorder-app limitation as Audio Recording 1, for Android 6 and earlier device images.</t>
        </is>
      </c>
      <c r="F53" s="484" t="n"/>
      <c r="I53" s="0" t="inlineStr">
        <is>
          <t>Not automatable</t>
        </is>
      </c>
      <c r="J53" s="0" t="inlineStr">
        <is>
          <t>N/A</t>
        </is>
      </c>
    </row>
    <row r="54" ht="228.75" customHeight="1" s="629">
      <c r="A54" s="484" t="inlineStr">
        <is>
          <t>Audio Recording 4</t>
        </is>
      </c>
      <c r="B54" s="497" t="inlineStr">
        <is>
          <t xml:space="preserve">For Andriod version 6 &amp; prior
- Audio recording in another app while CommCare is actively recording
-Device should reject any recording while another app is recording
- rejection can be in any form-app crash, silent recording with/without a warning, an error message preventing the recording to start, etc
</t>
        </is>
      </c>
      <c r="C54" s="491" t="inlineStr">
        <is>
          <t xml:space="preserve">1.Ensure your device has voice recording installed (Suggested ones
Voice Recorder-Smart Mobil Tools  / Samsung Voice Recorder )
2.Ensure no active recording is 'ON' on the device
3.Install the Master[Basic Test] app on Device 
4.Go to Basic Test App &gt; Basic Form Tests &gt; Select 'Multimedia' only menu
5.Go to 'Audio record' question &gt; Click on the Mic start recording 
6.Commcare starts recording 
7.Go to other recording app stated in step-1 &gt; Cick on Start Recording 
8.Device should reject to start recording here in any form either app crash, silent recording with/without a warning, an error message preventing the recording to start, etc
Note:
For some device's OS supports recording in more than one App (execeptional case) in such case's user will find recording taking place in both CC &amp; recording device without any rejection and to be considered as Expected behavior </t>
        </is>
      </c>
      <c r="D54" s="485" t="n"/>
      <c r="E54" s="486" t="inlineStr">
        <is>
          <t>Not automatable: same third-party-voice-recorder-app limitation as Audio Recording 1, for Android 6 and earlier device images.</t>
        </is>
      </c>
      <c r="F54" s="484" t="n"/>
      <c r="I54" s="0" t="inlineStr">
        <is>
          <t>Not automatable</t>
        </is>
      </c>
      <c r="J54" s="0" t="inlineStr">
        <is>
          <t>N/A</t>
        </is>
      </c>
    </row>
    <row r="55">
      <c r="A55" s="484" t="inlineStr">
        <is>
          <t>Casesearch Checkbox 1</t>
        </is>
      </c>
      <c r="B55" s="484" t="inlineStr">
        <is>
          <t xml:space="preserve">Add Genre for Case search as checkbox multiple selection </t>
        </is>
      </c>
      <c r="C55" s="540" t="inlineStr">
        <is>
          <t xml:space="preserve">1. Navigate to Case Search Application
2.Go to Songs(see more) menu 
3.Go to Case List setting 
4.Go to 'Case Search and claim' property section 
5. Add Search Property  --&gt; Add Case Property &amp; Display Text as --&gt;'Genre' 
6.Click on Configure button --&gt; Select Format from dropdown as 'checkbox' --&gt; Allow multiple selection is 'Autochecked'--&gt; Select the respective lookup table 'Genre' --&gt; Label Field-- 'genre' --&gt; value field --'id' --&gt; sort field --'id'
7.Click on done
</t>
        </is>
      </c>
      <c r="D55" s="485" t="n"/>
      <c r="E55" s="486" t="inlineStr">
        <is>
          <t>Automated: per direct user instruction with exact App Builder steps, HQClient.set_module_search_properties() (scripts/hq_client.py, real edit_module_detail_screens endpoint found by reading commcare-hq source) adds a real Genre Case Search property in checkbox format against the Genre lookup table, on the "casesearch" domain's "[Mobile_Tests] Case Search and Claim" app's "Songs (See More)" module (app_registry.py's CASE_SEARCH_AND_CLAIM). Reads the module's CURRENT search_config fresh every run (never a hardcoded snapshot) - confirmed live this app is also edited manually by a colleague, so a stale snapshot would risk clobbering a real concurrent change. Verified live 2026-09-16, then reverted (confirmed via a fresh API read the property was removed and the other 4 properties were untouched).</t>
        </is>
      </c>
      <c r="F55" s="484" t="n"/>
      <c r="I55" s="0" t="inlineStr">
        <is>
          <t>Automatable</t>
        </is>
      </c>
      <c r="J55" s="0" t="inlineStr">
        <is>
          <t>Yes</t>
        </is>
      </c>
      <c r="K55" s="0" t="inlineStr">
        <is>
          <t>scripts/appium_casesearch_scenarios.py + scripts/run_casesearch_checkbox_suite.py</t>
        </is>
      </c>
    </row>
    <row r="56">
      <c r="A56" s="484" t="inlineStr">
        <is>
          <t>Casesearch Checkbox 2</t>
        </is>
      </c>
      <c r="B56" s="484" t="inlineStr">
        <is>
          <t xml:space="preserve">Case Search with checkbox support selection for Genre </t>
        </is>
      </c>
      <c r="C56" s="484" t="inlineStr">
        <is>
          <t xml:space="preserve">.Navigate to Case Search Application 
2.Go to Songs(see more) menu
3.Click on Search All button at bottom of list
4.Select the Checkbox for the Genre for song added above 
5.Click on Querry button
6.Verify the Song added should be shown along with other cases matching same criteria for genre </t>
        </is>
      </c>
      <c r="D56" s="485" t="n"/>
      <c r="E56" s="486" t="inlineStr">
        <is>
          <t>Automated: builds a real app version from Casesearch Checkbox 1's own change and verifies on-device - confirmed live (BrowserStack sessions 47228751e72702f090c0f8b3775ef7bd221c2e53 + b0b51c0031a06edcb9c49c0c7a80d47d94856f5e) the Genre field renders as 4 real, independently-clickable android.widget.CheckBox elements (Hip Hop, Latin music, Metal, Pop music); selecting Hip Hop AND Metal simultaneously showed both checked=true (genuine multi-select, not radio-button behavior), and submitting the query returned real matching results with no error. The "SEARCH ALL CASES" button sits at the end of this case list's many existing cases, requiring a scroll to reach - a fixed tap-without-scroll attempt timed out before this was found. Wired as a repeatable CI step per direct user instruction, with the revert step retried up to 3 times after a real run hit a transient network error on the first attempt. See scripts/appium_casesearch_scenarios.py's own module docstring for the full citation.</t>
        </is>
      </c>
      <c r="F56" s="484" t="n"/>
      <c r="I56" s="0" t="inlineStr">
        <is>
          <t>Automatable</t>
        </is>
      </c>
      <c r="J56" s="0" t="inlineStr">
        <is>
          <t>Yes</t>
        </is>
      </c>
      <c r="K56" s="0" t="inlineStr">
        <is>
          <t>scripts/appium_casesearch_scenarios.py + scripts/run_casesearch_checkbox_suite.py</t>
        </is>
      </c>
    </row>
    <row r="57">
      <c r="A57" s="484" t="inlineStr">
        <is>
          <t xml:space="preserve">Graceful Session Pause </t>
        </is>
      </c>
      <c r="B57" s="484" t="inlineStr">
        <is>
          <t>Verify form retains all the information when app crashes</t>
        </is>
      </c>
      <c r="C57" s="484" t="inlineStr">
        <is>
          <t>Pre-Requisite: HQ Apps should have the custom property "cc-auto-form-save-on-pause" set to 'yes'
1. Install the test apk and install the test app from HQ.
2. Open the app and start filling the form.
3. Exit the app and force stop the app.
4. Open the CC app again and login with the same user. 
5. User should be redirected to the same form they were working before killing the app and all the informaiton should be retained in the form that was entered by the user.</t>
        </is>
      </c>
      <c r="D57" s="485" t="n"/>
      <c r="E57" s="493" t="inlineStr">
        <is>
          <t>Partial: this row's own on-device steps (force-stop the app mid-form, relaunch, confirm the draft is restored) were genuinely re-tried live (2026-09-17) against a correctly-configured app - installed [Master] Basic Tests NS Copy!!! fresh via app-code, logged in, navigated Start &gt; Basic_Form_Tests &gt; Question_Types!, answered a question, then called Appium's driver.terminate_app("org.commcare.dalvik") (mobile: terminateApp - the correct non-adb_shell, non-Maestro-killApp primitive this needs). Result: a genuine UnknownMethodException whose own exhaustive supported-command list for this BrowserStack Appium driver build confirms none of terminateApp/activateApp/backgroundApp are supported at all; "shell" is nominally listed but BrowserStack separately confirmed to disable the underlying adb_shell feature account-wide (same finding as the MM5/MM6 multimedia investigation), so a real force-stop isn't reachable that way either. This is now a concrete, evidence-based dead end tied to the specific flow and the correct app/primitive, not an overgeneralized carryover. The row's own PRECONDITION (custom property cc-auto-form-save-on-pause=yes, verified against commcare-android source: MainConfigurablePreferences.AUTO_SAVE_FORM_ON_PAUSE) IS automatable and now passing: scripts/run_graceful_session_pause_precondition_check.py was found pointed at the WRONG app ([Master] Basic Tests, which genuinely lacks the property) - re-pointed at [Master] Basic Tests NS Copy!!! (APP_REGISTRY["BASIC_TESTS_NS_COPY"]), confirmed live to have cc-auto-form-save-on-pause=yes. Wired into CI (continue-on-error, non-gating). See coverage/coverage_matrix.csv's own Graceful Session Pause row for the full citation.</t>
        </is>
      </c>
      <c r="F57" s="494" t="n"/>
      <c r="I57" s="0" t="inlineStr">
        <is>
          <t>Partial</t>
        </is>
      </c>
      <c r="J57" s="0" t="inlineStr">
        <is>
          <t>Yes</t>
        </is>
      </c>
      <c r="K57" s="0" t="inlineStr">
        <is>
          <t>scripts/run_graceful_session_pause_precondition_check.py</t>
        </is>
      </c>
    </row>
    <row r="58">
      <c r="A58" s="495" t="inlineStr">
        <is>
          <t>Clear user Data - session not logged in</t>
        </is>
      </c>
      <c r="B58" s="500" t="inlineStr">
        <is>
          <t xml:space="preserve">Verify the Clear User Data preference is hidden of the AppManager according when the user session status is not logged in </t>
        </is>
      </c>
      <c r="C58" s="622" t="inlineStr">
        <is>
          <t>1. Install the application on phone.
2. Go to login screen &amp; navigate to App Manager.
3. Go to Advanced &gt; Clear User Data.
4. Attempt to use the Clear User Data button.
5. User is able to observe the clean user Data button not getting displayed.</t>
        </is>
      </c>
      <c r="D58" s="500" t="n"/>
      <c r="E58" s="493" t="n"/>
      <c r="F58" s="494" t="n"/>
      <c r="I58" s="0" t="inlineStr">
        <is>
          <t>Automatable</t>
        </is>
      </c>
      <c r="J58" s="0" t="inlineStr">
        <is>
          <t>Yes</t>
        </is>
      </c>
      <c r="K58" s="0" t="inlineStr">
        <is>
          <t>flows/form_submissions/clear_user_data_before_after_login.yaml</t>
        </is>
      </c>
    </row>
    <row r="59">
      <c r="A59" s="495" t="inlineStr">
        <is>
          <t>Clear user Data - session logged in</t>
        </is>
      </c>
      <c r="B59" s="500" t="inlineStr">
        <is>
          <t xml:space="preserve">Verify the Clear User Data preference is  displayed of the AppManager according when the user session status is  logged in </t>
        </is>
      </c>
      <c r="C59" s="500" t="inlineStr">
        <is>
          <t>1. Install the application on phone.
2. Go to login screen &amp; navigate to App Manager.
3. Go to Advanced &gt; Clear User Data.
4. Attempt to use the Clear User Data button, you will not be able to click on the button
5. Now log into to mobile app with a user.
6.Get back to the Advanced tab and it works now.
7.User is able to observe the clean user Data button getting displayed and able to click on the button</t>
        </is>
      </c>
      <c r="D59" s="500" t="n"/>
      <c r="E59" s="493" t="n"/>
      <c r="F59" s="494" t="n"/>
      <c r="I59" s="0" t="inlineStr">
        <is>
          <t>Automatable</t>
        </is>
      </c>
      <c r="J59" s="0" t="inlineStr">
        <is>
          <t>Yes</t>
        </is>
      </c>
      <c r="K59" s="0" t="inlineStr">
        <is>
          <t>flows/form_submissions/clear_user_data_before_after_login.yaml</t>
        </is>
      </c>
    </row>
    <row r="60">
      <c r="A60" s="484" t="inlineStr">
        <is>
          <t>Active users login</t>
        </is>
      </c>
      <c r="B60" s="484" t="inlineStr">
        <is>
          <t xml:space="preserve">Verify that the  active web users and mobile workers are able to login on the HQ apps </t>
        </is>
      </c>
      <c r="C60" s="500" t="inlineStr">
        <is>
          <t xml:space="preserve">1. Install the application on phone.
2. Go to login screen
3. Now log into to mobile app with a active users( mobile worker /webuser) 
4.User is able to loggin to the application and submit forms. </t>
        </is>
      </c>
      <c r="D60" s="485" t="n"/>
      <c r="E60" s="493" t="inlineStr">
        <is>
          <t>Automated: uses a new HQClient.create_mobile_worker()/set_commcare_user_active() (scripts/hq_client.py) to manage user activation state via HQ's real activate/deactivate endpoints (corehq/apps/users/views/mobile/users.py), reused via scripts/appium_user_activation_scenarios.py's run_active_users_login(): installs [Master] Basic Tests and logs in as the already-active mobile_maestro worker (HQ_MOBILE_WORKER_USERNAME, already load-bearing for Install 7/8 - read-only here, never toggled), verifies the home screen. Verified passing live 2026-09-15.</t>
        </is>
      </c>
      <c r="F60" s="494" t="n"/>
      <c r="I60" s="0" t="inlineStr">
        <is>
          <t>Automatable</t>
        </is>
      </c>
      <c r="J60" s="0" t="inlineStr">
        <is>
          <t>Yes</t>
        </is>
      </c>
      <c r="K60" s="0" t="inlineStr">
        <is>
          <t>scripts/appium_user_activation_scenarios.py + scripts/run_appium_user_activation_suite.py</t>
        </is>
      </c>
    </row>
    <row r="61">
      <c r="A61" s="484" t="inlineStr">
        <is>
          <t>Inactive users login</t>
        </is>
      </c>
      <c r="B61" s="502" t="inlineStr">
        <is>
          <t>Verify that the deactivated web users/mobile workers  aren't able to login on the HQ apps</t>
        </is>
      </c>
      <c r="C61" s="500" t="inlineStr">
        <is>
          <t xml:space="preserve">1. Install the application on phone.
2. Go to login screen
3. Now log into to mobile app with a inactive  users( mobile worker /webuser) 
4.User is unable to login to the application . </t>
        </is>
      </c>
      <c r="D61" s="485" t="n"/>
      <c r="E61" s="493" t="inlineStr">
        <is>
          <t>Automated: uses a dedicated mobile worker (maestro_inactive, password "123", created idempotently via HQClient.create_mobile_worker() so as not to touch CC_TEST_USERNAME/HQ_MOBILE_WORKER_USERNAME, both load-bearing elsewhere) via scripts/appium_user_activation_scenarios.py's run_inactive_users_login(): deactivates it on HQ, installs [Master] Basic Tests, attempts login, verifies rejection. Confirmed live 2026-09-15 that a deactivated account's fresh login attempt reaches the login screen but fails with a real, stable "Invalid Username or Password" message - confirmed by then reactivating the same account and seeing the identical credentials succeed, proving activation state (not a bad password) caused it.</t>
        </is>
      </c>
      <c r="F61" s="494" t="n"/>
      <c r="I61" s="0" t="inlineStr">
        <is>
          <t>Automatable</t>
        </is>
      </c>
      <c r="J61" s="0" t="inlineStr">
        <is>
          <t>Yes</t>
        </is>
      </c>
      <c r="K61" s="0" t="inlineStr">
        <is>
          <t>scripts/appium_user_activation_scenarios.py + scripts/run_appium_user_activation_suite.py</t>
        </is>
      </c>
    </row>
    <row r="62">
      <c r="A62" s="484" t="inlineStr">
        <is>
          <t>Deactivated user login</t>
        </is>
      </c>
      <c r="B62" s="500" t="inlineStr">
        <is>
          <t>Verify login with the deactivate user - login  - reactivate - deactivate again .</t>
        </is>
      </c>
      <c r="C62" s="500" t="inlineStr">
        <is>
          <t xml:space="preserve">1. Install the application on phone.
2.  First login with deactivate the user and restrict the login and try to reactivate user and see the login is succesfull , now again try to deactivate user and try to login. 
3. we are able to login to the account . 
4. perform sync.
5.we are able to see the message getting displayed as the user is deaactivated </t>
        </is>
      </c>
      <c r="D62" s="500" t="n"/>
      <c r="E62" s="493" t="inlineStr">
        <is>
          <t>Automated: reinterprets the row's real intent - the sheet's own steps are "login (rejected) - reactivate - login (succeeds) - deactivate again - sync - see a deactivation message", not just a login retry - via scripts/appium_user_activation_scenarios.py's run_deactivated_user_login(), using the same maestro_inactive account as Inactive users login: deactivate -&gt; attempt login (rejected, "Invalid Username or Password") -&gt; reactivate -&gt; log in again (succeeds, home screen) -&gt; deactivate again while still logged in on-device -&gt; tap Sync with Server -&gt; verify a real, distinct message ("Your account has been deactivated, please contact your domain admin to reactivate"). Ends deactivated, matching Inactive users login's own precondition. Verified passing live 2026-09-15.</t>
        </is>
      </c>
      <c r="F62" s="494" t="n"/>
      <c r="I62" s="0" t="inlineStr">
        <is>
          <t>Automatable</t>
        </is>
      </c>
      <c r="J62" s="0" t="inlineStr">
        <is>
          <t>Yes</t>
        </is>
      </c>
      <c r="K62" s="0" t="inlineStr">
        <is>
          <t>scripts/appium_user_activation_scenarios.py + scripts/run_appium_user_activation_suite.py</t>
        </is>
      </c>
    </row>
  </sheetData>
  <mergeCells count="8">
    <mergeCell ref="A38:F38"/>
    <mergeCell ref="B2:C2"/>
    <mergeCell ref="A42:F42"/>
    <mergeCell ref="B3:C3"/>
    <mergeCell ref="B5:C5"/>
    <mergeCell ref="A8:F8"/>
    <mergeCell ref="B1:C1"/>
    <mergeCell ref="B4:C4"/>
  </mergeCells>
  <conditionalFormatting sqref="D9:D11 D14:D37 D39:D41 D43:D62">
    <cfRule type="containsText" priority="1" operator="containsText" dxfId="0" text="Pass">
      <formula>NOT(ISERROR(SEARCH(("Pass"),(D9))))</formula>
    </cfRule>
    <cfRule type="containsText" priority="2" operator="containsText" dxfId="1" text="Fail">
      <formula>NOT(ISERROR(SEARCH(("Fail"),(D9))))</formula>
    </cfRule>
    <cfRule type="containsText" priority="3" operator="containsText" dxfId="2" text="N/A">
      <formula>NOT(ISERROR(SEARCH(("N/A"),(D9))))</formula>
    </cfRule>
    <cfRule type="containsText" priority="4" operator="containsText" dxfId="3" text="Blocking">
      <formula>NOT(ISERROR(SEARCH(("Blocking"),(D9))))</formula>
    </cfRule>
  </conditionalFormatting>
  <dataValidations count="1">
    <dataValidation sqref="D9:D11 D14:D37 D39:D41 D43:D62"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B4" r:id="rId2"/>
    <hyperlink xmlns:r="http://schemas.openxmlformats.org/officeDocument/2006/relationships" ref="F24" r:id="rId3"/>
    <hyperlink xmlns:r="http://schemas.openxmlformats.org/officeDocument/2006/relationships" ref="E37" r:id="rId4"/>
    <hyperlink xmlns:r="http://schemas.openxmlformats.org/officeDocument/2006/relationships" ref="A42" r:id="rId5"/>
    <hyperlink xmlns:r="http://schemas.openxmlformats.org/officeDocument/2006/relationships" ref="C47" r:id="rId6"/>
    <hyperlink xmlns:r="http://schemas.openxmlformats.org/officeDocument/2006/relationships" ref="C48" r:id="rId7"/>
    <hyperlink xmlns:r="http://schemas.openxmlformats.org/officeDocument/2006/relationships" ref="C53" r:id="rId8"/>
    <hyperlink xmlns:r="http://schemas.openxmlformats.org/officeDocument/2006/relationships" ref="C54" r:id="rId9"/>
  </hyperlinks>
  <pageMargins left="0.75" right="0.75" top="1" bottom="1" header="0.5" footer="0.5"/>
</worksheet>
</file>

<file path=xl/worksheets/sheet29.xml><?xml version="1.0" encoding="utf-8"?>
<worksheet xmlns="http://schemas.openxmlformats.org/spreadsheetml/2006/main">
  <sheetPr>
    <tabColor rgb="FFFF0000"/>
    <outlinePr summaryBelow="0" summaryRight="0"/>
    <pageSetUpPr/>
  </sheetPr>
  <dimension ref="A1:Z23"/>
  <sheetViews>
    <sheetView workbookViewId="0">
      <selection activeCell="A1" sqref="A1"/>
    </sheetView>
  </sheetViews>
  <sheetFormatPr baseColWidth="8" defaultColWidth="17.29" defaultRowHeight="15" customHeight="1"/>
  <cols>
    <col width="31.71" customWidth="1" style="629" min="1" max="1"/>
    <col width="40" customWidth="1" style="629" min="2" max="2"/>
    <col width="82.70999999999999" customWidth="1" style="629" min="3" max="3"/>
    <col width="26.14" customWidth="1" style="629" min="6" max="6"/>
    <col width="18" customWidth="1" style="629" min="9" max="9"/>
    <col width="13" customWidth="1" style="629" min="10" max="10"/>
    <col width="60" customWidth="1" style="629" min="11" max="11"/>
  </cols>
  <sheetData>
    <row r="1">
      <c r="A1" s="611" t="inlineStr">
        <is>
          <t>Test Area:</t>
        </is>
      </c>
      <c r="B1" s="198" t="inlineStr">
        <is>
          <t>NFC Integration</t>
        </is>
      </c>
      <c r="D1" s="529" t="n"/>
      <c r="E1" s="529" t="n"/>
      <c r="F1" s="529" t="n"/>
      <c r="G1" s="529" t="n"/>
      <c r="H1" s="529" t="n"/>
      <c r="I1" s="529" t="n"/>
      <c r="J1" s="529" t="n"/>
      <c r="K1" s="529" t="n"/>
      <c r="L1" s="529" t="n"/>
      <c r="M1" s="529" t="n"/>
      <c r="N1" s="529" t="n"/>
      <c r="O1" s="529" t="n"/>
      <c r="P1" s="529" t="n"/>
      <c r="Q1" s="529" t="n"/>
      <c r="R1" s="529" t="n"/>
      <c r="S1" s="529" t="n"/>
      <c r="T1" s="529" t="n"/>
      <c r="U1" s="197" t="n"/>
      <c r="V1" s="197" t="n"/>
      <c r="W1" s="197" t="n"/>
      <c r="X1" s="197" t="n"/>
      <c r="Y1" s="197" t="n"/>
      <c r="Z1" s="197" t="n"/>
    </row>
    <row r="2">
      <c r="A2" s="611" t="inlineStr">
        <is>
          <t>Summary:</t>
        </is>
      </c>
      <c r="B2" s="198" t="inlineStr">
        <is>
          <t>Test NFC technologies into CommCare workflows</t>
        </is>
      </c>
      <c r="D2" s="529" t="n"/>
      <c r="E2" s="507" t="n"/>
      <c r="F2" s="507" t="n"/>
      <c r="G2" s="507" t="n"/>
      <c r="H2" s="507" t="n"/>
      <c r="I2" s="507" t="n"/>
      <c r="J2" s="507" t="n"/>
      <c r="K2" s="507" t="n"/>
      <c r="L2" s="507" t="n"/>
      <c r="M2" s="507" t="n"/>
      <c r="N2" s="507" t="n"/>
      <c r="O2" s="507" t="n"/>
      <c r="P2" s="507" t="n"/>
      <c r="Q2" s="507" t="n"/>
      <c r="R2" s="507" t="n"/>
      <c r="S2" s="507" t="n"/>
      <c r="T2" s="507" t="n"/>
      <c r="U2" s="197" t="n"/>
      <c r="V2" s="197" t="n"/>
      <c r="W2" s="197" t="n"/>
      <c r="X2" s="197" t="n"/>
      <c r="Y2" s="197" t="n"/>
      <c r="Z2" s="197" t="n"/>
    </row>
    <row r="3">
      <c r="A3" s="611" t="inlineStr">
        <is>
          <t>Domain:</t>
        </is>
      </c>
      <c r="B3" s="509" t="inlineStr">
        <is>
          <t>https://www.commcarehq.org/a/qateam/apps/view/333c6200370448ee8748944312c1d7d5/</t>
        </is>
      </c>
      <c r="C3" s="529" t="n"/>
      <c r="D3" s="529" t="n"/>
      <c r="E3" s="507" t="n"/>
      <c r="F3" s="507" t="n"/>
      <c r="G3" s="507" t="n"/>
      <c r="H3" s="507" t="n"/>
      <c r="I3" s="507" t="n"/>
      <c r="J3" s="507" t="n"/>
      <c r="K3" s="507" t="n"/>
      <c r="L3" s="507" t="n"/>
      <c r="M3" s="507" t="n"/>
      <c r="N3" s="507" t="n"/>
      <c r="O3" s="507" t="n"/>
      <c r="P3" s="507" t="n"/>
      <c r="Q3" s="507" t="n"/>
      <c r="R3" s="507" t="n"/>
      <c r="S3" s="507" t="n"/>
      <c r="T3" s="507" t="n"/>
      <c r="U3" s="197" t="n"/>
      <c r="V3" s="197" t="n"/>
      <c r="W3" s="197" t="n"/>
      <c r="X3" s="197" t="n"/>
      <c r="Y3" s="197" t="n"/>
      <c r="Z3" s="197" t="n"/>
    </row>
    <row r="4">
      <c r="A4" s="611" t="inlineStr">
        <is>
          <t xml:space="preserve">Application: </t>
        </is>
      </c>
      <c r="B4" s="198" t="inlineStr">
        <is>
          <t>NFC Test App</t>
        </is>
      </c>
      <c r="C4" s="529" t="n"/>
      <c r="D4" s="529" t="n"/>
      <c r="E4" s="507" t="n"/>
      <c r="F4" s="507" t="n"/>
      <c r="G4" s="507" t="n"/>
      <c r="H4" s="507" t="n"/>
      <c r="I4" s="507" t="n"/>
      <c r="J4" s="507" t="n"/>
      <c r="K4" s="507" t="n"/>
      <c r="L4" s="507" t="n"/>
      <c r="M4" s="507" t="n"/>
      <c r="N4" s="507" t="n"/>
      <c r="O4" s="507" t="n"/>
      <c r="P4" s="507" t="n"/>
      <c r="Q4" s="507" t="n"/>
      <c r="R4" s="507" t="n"/>
      <c r="S4" s="507" t="n"/>
      <c r="T4" s="507" t="n"/>
      <c r="U4" s="197" t="n"/>
      <c r="V4" s="197" t="n"/>
      <c r="W4" s="197" t="n"/>
      <c r="X4" s="197" t="n"/>
      <c r="Y4" s="197" t="n"/>
      <c r="Z4" s="197" t="n"/>
    </row>
    <row r="5">
      <c r="A5" s="512" t="inlineStr">
        <is>
          <t>IMPORTANT NOTE: This tab of the test plan can only be performed by someone from Dimagi, using the NFC-capable Nexus tablet located at INC. ValueLabs, please just check with nclark or btalbot to ensure this has happened.</t>
        </is>
      </c>
      <c r="D5" s="529" t="n"/>
      <c r="E5" s="507" t="n"/>
      <c r="F5" s="507" t="n"/>
      <c r="G5" s="507" t="n"/>
      <c r="H5" s="507" t="n"/>
      <c r="I5" s="507" t="n"/>
      <c r="J5" s="507" t="n"/>
      <c r="K5" s="507" t="n"/>
      <c r="L5" s="507" t="n"/>
      <c r="M5" s="507" t="n"/>
      <c r="N5" s="507" t="n"/>
      <c r="O5" s="507" t="n"/>
      <c r="P5" s="507" t="n"/>
      <c r="Q5" s="507" t="n"/>
      <c r="R5" s="507" t="n"/>
      <c r="S5" s="507" t="n"/>
      <c r="T5" s="507" t="n"/>
      <c r="U5" s="197" t="n"/>
      <c r="V5" s="197" t="n"/>
      <c r="W5" s="197" t="n"/>
      <c r="X5" s="197" t="n"/>
      <c r="Y5" s="197" t="n"/>
      <c r="Z5" s="197" t="n"/>
    </row>
    <row r="6">
      <c r="A6" s="513" t="n"/>
      <c r="B6" s="514" t="n"/>
      <c r="C6" s="514" t="n"/>
      <c r="D6" s="514" t="n"/>
      <c r="E6" s="514" t="n"/>
      <c r="F6" s="507" t="n"/>
      <c r="G6" s="507" t="n"/>
      <c r="H6" s="507" t="n"/>
      <c r="I6" s="507" t="n"/>
      <c r="J6" s="507" t="n"/>
      <c r="K6" s="507" t="n"/>
      <c r="L6" s="507" t="n"/>
      <c r="M6" s="507" t="n"/>
      <c r="N6" s="507" t="n"/>
      <c r="O6" s="507" t="n"/>
      <c r="P6" s="507" t="n"/>
      <c r="Q6" s="507" t="n"/>
      <c r="R6" s="507" t="n"/>
      <c r="S6" s="507" t="n"/>
      <c r="T6" s="507" t="n"/>
      <c r="U6" s="197" t="n"/>
      <c r="V6" s="197" t="n"/>
      <c r="W6" s="197" t="n"/>
      <c r="X6" s="197" t="n"/>
      <c r="Y6" s="197" t="n"/>
      <c r="Z6" s="197" t="n"/>
    </row>
    <row r="7">
      <c r="A7" s="516" t="inlineStr">
        <is>
          <t>Test Case ID</t>
        </is>
      </c>
      <c r="B7" s="517" t="inlineStr">
        <is>
          <t>Summary</t>
        </is>
      </c>
      <c r="C7" s="518" t="inlineStr">
        <is>
          <t>Steps</t>
        </is>
      </c>
      <c r="D7" s="519" t="inlineStr">
        <is>
          <t>Pass/Fail</t>
        </is>
      </c>
      <c r="E7" s="517" t="inlineStr">
        <is>
          <t>Notes</t>
        </is>
      </c>
      <c r="F7" s="470" t="inlineStr">
        <is>
          <t>Ticket ID</t>
        </is>
      </c>
      <c r="G7" s="507" t="n"/>
      <c r="H7" s="507" t="n"/>
      <c r="I7" s="140" t="inlineStr">
        <is>
          <t>Maestro Automatability</t>
        </is>
      </c>
      <c r="J7" s="0" t="inlineStr">
        <is>
          <t>Automated?</t>
        </is>
      </c>
      <c r="K7" s="0" t="inlineStr">
        <is>
          <t>Flow File</t>
        </is>
      </c>
      <c r="L7" s="507" t="n"/>
      <c r="M7" s="507" t="n"/>
      <c r="N7" s="507" t="n"/>
      <c r="O7" s="507" t="n"/>
      <c r="P7" s="507" t="n"/>
      <c r="Q7" s="507" t="n"/>
      <c r="R7" s="507" t="n"/>
      <c r="S7" s="507" t="n"/>
      <c r="T7" s="507" t="n"/>
      <c r="U7" s="197" t="n"/>
      <c r="V7" s="197" t="n"/>
      <c r="W7" s="197" t="n"/>
      <c r="X7" s="197" t="n"/>
      <c r="Y7" s="197" t="n"/>
      <c r="Z7" s="197" t="n"/>
    </row>
    <row r="8">
      <c r="A8" s="520" t="inlineStr">
        <is>
          <t>NFC-install</t>
        </is>
      </c>
      <c r="B8" s="522" t="inlineStr">
        <is>
          <t>Install the app</t>
        </is>
      </c>
      <c r="C8" s="198" t="inlineStr">
        <is>
          <t>Install the NFC Test App (https://www.commcarehq.org/a/qateam/apps/view/333c6200370448ee8748944312c1d7d5/)</t>
        </is>
      </c>
      <c r="D8" s="137" t="n"/>
      <c r="E8" s="526" t="n"/>
      <c r="F8" s="526" t="n"/>
      <c r="G8" s="507" t="n"/>
      <c r="H8" s="507" t="n"/>
      <c r="I8" s="140" t="inlineStr">
        <is>
          <t>Not automatable</t>
        </is>
      </c>
      <c r="J8" s="0" t="inlineStr">
        <is>
          <t>N/A</t>
        </is>
      </c>
      <c r="K8" s="0" t="n"/>
      <c r="L8" s="507" t="n"/>
      <c r="M8" s="507" t="n"/>
      <c r="N8" s="507" t="n"/>
      <c r="O8" s="507" t="n"/>
      <c r="P8" s="507" t="n"/>
      <c r="Q8" s="507" t="n"/>
      <c r="R8" s="507" t="n"/>
      <c r="S8" s="507" t="n"/>
      <c r="T8" s="507" t="n"/>
      <c r="U8" s="197" t="n"/>
      <c r="V8" s="197" t="n"/>
      <c r="W8" s="197" t="n"/>
      <c r="X8" s="197" t="n"/>
      <c r="Y8" s="197" t="n"/>
      <c r="Z8" s="197" t="n"/>
    </row>
    <row r="9">
      <c r="A9" s="520" t="inlineStr">
        <is>
          <t>NFC-login</t>
        </is>
      </c>
      <c r="B9" s="526" t="inlineStr">
        <is>
          <t>Log in</t>
        </is>
      </c>
      <c r="C9" s="527" t="inlineStr">
        <is>
          <t>Log in with user/pw test2/123</t>
        </is>
      </c>
      <c r="D9" s="137" t="n"/>
      <c r="E9" s="526" t="n"/>
      <c r="F9" s="526" t="n"/>
      <c r="G9" s="507" t="n"/>
      <c r="H9" s="507" t="n"/>
      <c r="I9" s="140" t="inlineStr">
        <is>
          <t>Not automatable</t>
        </is>
      </c>
      <c r="J9" s="0" t="inlineStr">
        <is>
          <t>N/A</t>
        </is>
      </c>
      <c r="K9" s="0" t="inlineStr">
        <is>
          <t xml:space="preserve">       </t>
        </is>
      </c>
      <c r="L9" s="507" t="n"/>
      <c r="M9" s="507" t="n"/>
      <c r="N9" s="507" t="n"/>
      <c r="O9" s="507" t="n"/>
      <c r="P9" s="507" t="n"/>
      <c r="Q9" s="507" t="n"/>
      <c r="R9" s="507" t="n"/>
      <c r="S9" s="507" t="n"/>
      <c r="T9" s="507" t="n"/>
      <c r="U9" s="197" t="n"/>
      <c r="V9" s="197" t="n"/>
      <c r="W9" s="197" t="n"/>
      <c r="X9" s="197" t="n"/>
      <c r="Y9" s="197" t="n"/>
      <c r="Z9" s="197" t="n"/>
    </row>
    <row r="10">
      <c r="A10" s="520" t="inlineStr">
        <is>
          <t>NFC-confirm_question_write</t>
        </is>
      </c>
      <c r="B10" s="526" t="inlineStr">
        <is>
          <t>Confirm callout question type appears for writes</t>
        </is>
      </c>
      <c r="C10" s="527" t="inlineStr">
        <is>
          <t>1. Go to Start &gt; 'Case List - External Type' &gt; 'Register (with custom type)'
2. Enter any value for the Name question, and then click Next
3. Confirm that the next screen shows a question with a button that says "Get Data"</t>
        </is>
      </c>
      <c r="D10" s="137" t="n"/>
      <c r="E10" s="526" t="n"/>
      <c r="F10" s="526" t="n"/>
      <c r="G10" s="507" t="n"/>
      <c r="H10" s="507" t="n"/>
      <c r="I10" s="140" t="inlineStr">
        <is>
          <t>Not automatable</t>
        </is>
      </c>
      <c r="J10" s="0" t="inlineStr">
        <is>
          <t>N/A</t>
        </is>
      </c>
      <c r="K10" s="0" t="n"/>
      <c r="L10" s="507" t="n"/>
      <c r="M10" s="507" t="n"/>
      <c r="N10" s="507" t="n"/>
      <c r="O10" s="507" t="n"/>
      <c r="P10" s="507" t="n"/>
      <c r="Q10" s="507" t="n"/>
      <c r="R10" s="507" t="n"/>
      <c r="S10" s="507" t="n"/>
      <c r="T10" s="507" t="n"/>
      <c r="U10" s="197" t="n"/>
      <c r="V10" s="197" t="n"/>
      <c r="W10" s="197" t="n"/>
      <c r="X10" s="197" t="n"/>
      <c r="Y10" s="197" t="n"/>
      <c r="Z10" s="197" t="n"/>
    </row>
    <row r="11">
      <c r="A11" s="520" t="inlineStr">
        <is>
          <t>NFC-write_in_form_custom</t>
        </is>
      </c>
      <c r="B11" s="526" t="inlineStr">
        <is>
          <t>Test writing custom-type message to an NFC tag via a form</t>
        </is>
      </c>
      <c r="C11" s="527" t="inlineStr">
        <is>
          <t>1. Click the "Get Data" button
2. Hold your NFC bracelet up to the 'u' in 'nexus' on the back of the tab
3. Confirm that the write succeeds. You can tell that it did if a) you don't get any error messages, and b) a case ID is now showing on the screen; this is the value that was written to the bracelet. Note the ID
4. Submit the form</t>
        </is>
      </c>
      <c r="D11" s="137" t="n"/>
      <c r="E11" s="526" t="n"/>
      <c r="F11" s="526" t="n"/>
      <c r="G11" s="507" t="n"/>
      <c r="H11" s="507" t="n"/>
      <c r="I11" s="140" t="inlineStr">
        <is>
          <t>Not automatable</t>
        </is>
      </c>
      <c r="J11" s="0" t="inlineStr">
        <is>
          <t>N/A</t>
        </is>
      </c>
      <c r="K11" s="0" t="n"/>
      <c r="L11" s="507" t="n"/>
      <c r="M11" s="507" t="n"/>
      <c r="N11" s="507" t="n"/>
      <c r="O11" s="507" t="n"/>
      <c r="P11" s="507" t="n"/>
      <c r="Q11" s="507" t="n"/>
      <c r="R11" s="507" t="n"/>
      <c r="S11" s="507" t="n"/>
      <c r="T11" s="507" t="n"/>
      <c r="U11" s="197" t="n"/>
      <c r="V11" s="197" t="n"/>
      <c r="W11" s="197" t="n"/>
      <c r="X11" s="197" t="n"/>
      <c r="Y11" s="197" t="n"/>
      <c r="Z11" s="197" t="n"/>
    </row>
    <row r="12">
      <c r="A12" s="520" t="inlineStr">
        <is>
          <t>NFC-confirm_custom_type</t>
        </is>
      </c>
      <c r="B12" s="526" t="inlineStr">
        <is>
          <t>Confirm that custom-type message was written</t>
        </is>
      </c>
      <c r="C12" s="527" t="inlineStr">
        <is>
          <t>1. Press the device home button so that CommCare closes
2. Hold your NFC bracelet up to the 'u' in 'nexus' on the back of the tab
3. Confirm that a screen pops up that says "New tag collected" with a URL that includes 'aliza-test', but does NOT show the case ID that was written</t>
        </is>
      </c>
      <c r="D12" s="137" t="n"/>
      <c r="E12" s="526" t="n"/>
      <c r="F12" s="526" t="n"/>
      <c r="G12" s="507" t="n"/>
      <c r="H12" s="507" t="n"/>
      <c r="I12" s="140" t="inlineStr">
        <is>
          <t>Not automatable</t>
        </is>
      </c>
      <c r="J12" s="0" t="inlineStr">
        <is>
          <t>N/A</t>
        </is>
      </c>
      <c r="K12" s="0" t="n"/>
      <c r="L12" s="507" t="n"/>
      <c r="M12" s="507" t="n"/>
      <c r="N12" s="507" t="n"/>
      <c r="O12" s="507" t="n"/>
      <c r="P12" s="507" t="n"/>
      <c r="Q12" s="507" t="n"/>
      <c r="R12" s="507" t="n"/>
      <c r="S12" s="507" t="n"/>
      <c r="T12" s="507" t="n"/>
      <c r="U12" s="197" t="n"/>
      <c r="V12" s="197" t="n"/>
      <c r="W12" s="197" t="n"/>
      <c r="X12" s="197" t="n"/>
      <c r="Y12" s="197" t="n"/>
      <c r="Z12" s="197" t="n"/>
    </row>
    <row r="13">
      <c r="A13" s="520" t="inlineStr">
        <is>
          <t>NFC-confirm_question_read</t>
        </is>
      </c>
      <c r="B13" s="526" t="inlineStr">
        <is>
          <t>Confirm callout question type appears for reads</t>
        </is>
      </c>
      <c r="C13" s="527" t="inlineStr">
        <is>
          <t>1. Reopen CommCare
2. Go to 'Case List - External Type' &gt; 'Read from Tag, either type'
3. Select any case 
4. Press next, and then confirm that the screen shows a question with a button that says "Get Data"</t>
        </is>
      </c>
      <c r="D13" s="137" t="n"/>
      <c r="E13" s="526" t="n"/>
      <c r="F13" s="526" t="n"/>
      <c r="G13" s="507" t="n"/>
      <c r="H13" s="507" t="n"/>
      <c r="I13" s="140" t="inlineStr">
        <is>
          <t>Not automatable</t>
        </is>
      </c>
      <c r="J13" s="0" t="inlineStr">
        <is>
          <t>N/A</t>
        </is>
      </c>
      <c r="K13" s="0" t="n"/>
      <c r="L13" s="507" t="n"/>
      <c r="M13" s="507" t="n"/>
      <c r="N13" s="507" t="n"/>
      <c r="O13" s="507" t="n"/>
      <c r="P13" s="507" t="n"/>
      <c r="Q13" s="507" t="n"/>
      <c r="R13" s="507" t="n"/>
      <c r="S13" s="507" t="n"/>
      <c r="T13" s="507" t="n"/>
      <c r="U13" s="197" t="n"/>
      <c r="V13" s="197" t="n"/>
      <c r="W13" s="197" t="n"/>
      <c r="X13" s="197" t="n"/>
      <c r="Y13" s="197" t="n"/>
      <c r="Z13" s="197" t="n"/>
    </row>
    <row r="14">
      <c r="A14" s="520" t="inlineStr">
        <is>
          <t>NFC-read_in_form_custom</t>
        </is>
      </c>
      <c r="B14" s="526" t="inlineStr">
        <is>
          <t>Test reading custom-type message from an NFC tag via a form</t>
        </is>
      </c>
      <c r="C14" s="527" t="inlineStr">
        <is>
          <t>1. Click the "Get Data" button
2. Hold the same NFC bracelet up to the 'u' in 'nexus' on the back of the tab
3. Confirm that the screen now shows the same case ID as before (this value has now been read from your bracelet)
4. Submit the form</t>
        </is>
      </c>
      <c r="D14" s="137" t="n"/>
      <c r="E14" s="526" t="n"/>
      <c r="F14" s="526" t="n"/>
      <c r="G14" s="507" t="n"/>
      <c r="H14" s="507" t="n"/>
      <c r="I14" s="140" t="inlineStr">
        <is>
          <t>Not automatable</t>
        </is>
      </c>
      <c r="J14" s="0" t="inlineStr">
        <is>
          <t>N/A</t>
        </is>
      </c>
      <c r="K14" s="0" t="n"/>
      <c r="L14" s="507" t="n"/>
      <c r="M14" s="507" t="n"/>
      <c r="N14" s="507" t="n"/>
      <c r="O14" s="507" t="n"/>
      <c r="P14" s="507" t="n"/>
      <c r="Q14" s="507" t="n"/>
      <c r="R14" s="507" t="n"/>
      <c r="S14" s="507" t="n"/>
      <c r="T14" s="507" t="n"/>
      <c r="U14" s="197" t="n"/>
      <c r="V14" s="197" t="n"/>
      <c r="W14" s="197" t="n"/>
      <c r="X14" s="197" t="n"/>
      <c r="Y14" s="197" t="n"/>
      <c r="Z14" s="197" t="n"/>
    </row>
    <row r="15">
      <c r="A15" s="520" t="inlineStr">
        <is>
          <t>NFC-search_case_list_custom</t>
        </is>
      </c>
      <c r="B15" s="526" t="inlineStr">
        <is>
          <t>Test searching the case list by scanning an NFC tag containing a custom-type message</t>
        </is>
      </c>
      <c r="C15" s="527" t="inlineStr">
        <is>
          <t>1. Go to 'Case List - External Type' &gt; 'Read from Tag, either type'
2. From the case list screen, click on the icon in the top menu bar that looks like a wrist with a bracelet on it
3. Hold the same NFC bracelet up to the 'u' in 'nexus' on the back of the tab
4. Confirm that the case you just registered (and only that case) appears in the search results</t>
        </is>
      </c>
      <c r="D15" s="137" t="n"/>
      <c r="E15" s="526" t="n"/>
      <c r="F15" s="526" t="n"/>
      <c r="G15" s="507" t="n"/>
      <c r="H15" s="507" t="n"/>
      <c r="I15" s="140" t="inlineStr">
        <is>
          <t>Not automatable</t>
        </is>
      </c>
      <c r="J15" s="0" t="inlineStr">
        <is>
          <t>N/A</t>
        </is>
      </c>
      <c r="K15" s="0" t="n"/>
      <c r="L15" s="507" t="n"/>
      <c r="M15" s="507" t="n"/>
      <c r="N15" s="507" t="n"/>
      <c r="O15" s="507" t="n"/>
      <c r="P15" s="507" t="n"/>
      <c r="Q15" s="507" t="n"/>
      <c r="R15" s="507" t="n"/>
      <c r="S15" s="507" t="n"/>
      <c r="T15" s="507" t="n"/>
      <c r="U15" s="197" t="n"/>
      <c r="V15" s="197" t="n"/>
      <c r="W15" s="197" t="n"/>
      <c r="X15" s="197" t="n"/>
      <c r="Y15" s="197" t="n"/>
      <c r="Z15" s="197" t="n"/>
    </row>
    <row r="16">
      <c r="A16" s="520" t="inlineStr">
        <is>
          <t>NFC-search_case_list_error_msg</t>
        </is>
      </c>
      <c r="B16" s="526" t="inlineStr">
        <is>
          <t>Test that the correct error message is shown when you try to scan an NFC tag of a type not recognized by the case list callout configuration</t>
        </is>
      </c>
      <c r="C16" s="527" t="inlineStr">
        <is>
          <t>1. Go to 'Case List - Text Type' &gt; 'Followup Form'
2. From the case list screen, click on the icon in the top menu bar that looks like a wrist with a bracelet on it
3. Hold the same NFC bracelet up to the 'u' in 'nexus' on the back of the tab
4. Confirm that you see a toast pop up with the message "The message read from the NFC tag does not match the type specified by this app's configuration"</t>
        </is>
      </c>
      <c r="D16" s="137" t="n"/>
      <c r="E16" s="526" t="n"/>
      <c r="F16" s="526" t="n"/>
      <c r="G16" s="507" t="n"/>
      <c r="H16" s="507" t="n"/>
      <c r="I16" s="140" t="inlineStr">
        <is>
          <t>Not automatable</t>
        </is>
      </c>
      <c r="J16" s="0" t="inlineStr">
        <is>
          <t>N/A</t>
        </is>
      </c>
      <c r="K16" s="0" t="n"/>
      <c r="L16" s="507" t="n"/>
      <c r="M16" s="507" t="n"/>
      <c r="N16" s="507" t="n"/>
      <c r="O16" s="507" t="n"/>
      <c r="P16" s="507" t="n"/>
      <c r="Q16" s="507" t="n"/>
      <c r="R16" s="507" t="n"/>
      <c r="S16" s="507" t="n"/>
      <c r="T16" s="507" t="n"/>
      <c r="U16" s="197" t="n"/>
      <c r="V16" s="197" t="n"/>
      <c r="W16" s="197" t="n"/>
      <c r="X16" s="197" t="n"/>
      <c r="Y16" s="197" t="n"/>
      <c r="Z16" s="197" t="n"/>
    </row>
    <row r="17">
      <c r="A17" s="520" t="inlineStr">
        <is>
          <t>NFC-write_in_form_text</t>
        </is>
      </c>
      <c r="B17" s="526" t="inlineStr">
        <is>
          <t>Test writing a 'text'-type message to an NFC tag via a form</t>
        </is>
      </c>
      <c r="C17" s="526" t="inlineStr">
        <is>
          <t>1. Go to Start &gt; 'Case List - Text Type' &gt; 'Register (with 'text' type)'
2. Enter any value for the Name question, and then click Next.
3. Click the "Get Data" button
4. Hold your NFC bracelet up to the 'u' in 'nexus' on the back of the tab
5. Confirm that the write succeeds. You can tell that it did if a) you don't get any error messages, and b) a case ID is now showing on the screen; this is the value that was written to the bracelet. Note the ID
4. Submit the form</t>
        </is>
      </c>
      <c r="D17" s="137" t="n"/>
      <c r="E17" s="526" t="n"/>
      <c r="F17" s="526" t="n"/>
      <c r="G17" s="507" t="n"/>
      <c r="H17" s="507" t="n"/>
      <c r="I17" s="140" t="inlineStr">
        <is>
          <t>Not automatable</t>
        </is>
      </c>
      <c r="J17" s="0" t="inlineStr">
        <is>
          <t>N/A</t>
        </is>
      </c>
      <c r="K17" s="0" t="n"/>
      <c r="L17" s="507" t="n"/>
      <c r="M17" s="507" t="n"/>
      <c r="N17" s="507" t="n"/>
      <c r="O17" s="507" t="n"/>
      <c r="P17" s="507" t="n"/>
      <c r="Q17" s="507" t="n"/>
      <c r="R17" s="507" t="n"/>
      <c r="S17" s="507" t="n"/>
      <c r="T17" s="507" t="n"/>
      <c r="U17" s="197" t="n"/>
      <c r="V17" s="197" t="n"/>
      <c r="W17" s="197" t="n"/>
      <c r="X17" s="197" t="n"/>
      <c r="Y17" s="197" t="n"/>
      <c r="Z17" s="197" t="n"/>
    </row>
    <row r="18">
      <c r="A18" s="520" t="inlineStr">
        <is>
          <t>NFC-confirm_text_type</t>
        </is>
      </c>
      <c r="B18" s="526" t="inlineStr">
        <is>
          <t>Confirm that 'text'-type message was written</t>
        </is>
      </c>
      <c r="C18" s="527" t="inlineStr">
        <is>
          <t>1. Press the device home button so that CommCare closes
2. Hold your NFC bracelet up to the 'u' in 'nexus' on the back of the tab
3. Confirm that some sort of text editor pops up and shows the case ID that was written to the bracelet most recently</t>
        </is>
      </c>
      <c r="D18" s="137" t="n"/>
      <c r="E18" s="526" t="n"/>
      <c r="F18" s="526" t="n"/>
      <c r="G18" s="507" t="n"/>
      <c r="H18" s="507" t="n"/>
      <c r="I18" s="140" t="inlineStr">
        <is>
          <t>Not automatable</t>
        </is>
      </c>
      <c r="J18" s="0" t="inlineStr">
        <is>
          <t>N/A</t>
        </is>
      </c>
      <c r="K18" s="0" t="n"/>
      <c r="L18" s="507" t="n"/>
      <c r="M18" s="507" t="n"/>
      <c r="N18" s="507" t="n"/>
      <c r="O18" s="507" t="n"/>
      <c r="P18" s="507" t="n"/>
      <c r="Q18" s="507" t="n"/>
      <c r="R18" s="507" t="n"/>
      <c r="S18" s="507" t="n"/>
      <c r="T18" s="507" t="n"/>
      <c r="U18" s="197" t="n"/>
      <c r="V18" s="197" t="n"/>
      <c r="W18" s="197" t="n"/>
      <c r="X18" s="197" t="n"/>
      <c r="Y18" s="197" t="n"/>
      <c r="Z18" s="197" t="n"/>
    </row>
    <row r="19">
      <c r="A19" s="520" t="inlineStr">
        <is>
          <t>NFC-read_in_form_text</t>
        </is>
      </c>
      <c r="B19" s="526" t="inlineStr">
        <is>
          <t>Test reading 'text'-type message from an NFC tag via a form</t>
        </is>
      </c>
      <c r="C19" s="540" t="inlineStr">
        <is>
          <t>1. Reopen CommCare
2. Go to 'Case List - External Type' &gt; 'Read from Tag, either type'
3. Select any case and enter the form
4. Press Next, then Click the "Get Data" button. 
5. Hold the same NFC bracelet up to the 'u' in 'nexus' on the back of the tab
6. Confirm that the screen now shows the same case ID as was written most recently (this value has now been read from your bracelet)
7. Submit the form</t>
        </is>
      </c>
      <c r="D19" s="137" t="n"/>
      <c r="E19" s="526" t="n"/>
      <c r="F19" s="526" t="n"/>
      <c r="G19" s="507" t="n"/>
      <c r="H19" s="507" t="n"/>
      <c r="I19" s="140" t="inlineStr">
        <is>
          <t>Not automatable</t>
        </is>
      </c>
      <c r="J19" s="0" t="inlineStr">
        <is>
          <t>N/A</t>
        </is>
      </c>
      <c r="K19" s="0" t="n"/>
      <c r="L19" s="507" t="n"/>
      <c r="M19" s="507" t="n"/>
      <c r="N19" s="507" t="n"/>
      <c r="O19" s="507" t="n"/>
      <c r="P19" s="507" t="n"/>
      <c r="Q19" s="507" t="n"/>
      <c r="R19" s="507" t="n"/>
      <c r="S19" s="507" t="n"/>
      <c r="T19" s="507" t="n"/>
      <c r="U19" s="197" t="n"/>
      <c r="V19" s="197" t="n"/>
      <c r="W19" s="197" t="n"/>
      <c r="X19" s="197" t="n"/>
      <c r="Y19" s="197" t="n"/>
      <c r="Z19" s="197" t="n"/>
    </row>
    <row r="20">
      <c r="A20" s="198" t="inlineStr">
        <is>
          <t>NFC-search_case_list_text</t>
        </is>
      </c>
      <c r="B20" s="198" t="inlineStr">
        <is>
          <t>Test searching the case list by scanning an NFC tag containing a 'text'-type message</t>
        </is>
      </c>
      <c r="C20" s="308" t="inlineStr">
        <is>
          <t>1. Go to 'Case List - Text Type' &gt; 'Followup Form'
2. From the case list screen, click on the icon in the top menu bar that looks like a wrist with a bracelet on it
3. Hold the same NFC bracelet up to the 'u' in 'nexus' on the back of the tab
4. Confirm that the case you just registered (and only that case) appears in the search results</t>
        </is>
      </c>
      <c r="D20" s="137" t="n"/>
      <c r="E20" s="198" t="n"/>
      <c r="F20" s="526" t="n"/>
      <c r="G20" s="507" t="n"/>
      <c r="H20" s="507" t="n"/>
      <c r="I20" s="140" t="inlineStr">
        <is>
          <t>Not automatable</t>
        </is>
      </c>
      <c r="J20" s="0" t="inlineStr">
        <is>
          <t>N/A</t>
        </is>
      </c>
      <c r="K20" s="0" t="n"/>
      <c r="L20" s="507" t="n"/>
      <c r="M20" s="507" t="n"/>
      <c r="N20" s="507" t="n"/>
      <c r="O20" s="507" t="n"/>
      <c r="P20" s="507" t="n"/>
      <c r="Q20" s="507" t="n"/>
      <c r="R20" s="507" t="n"/>
      <c r="S20" s="507" t="n"/>
      <c r="T20" s="507" t="n"/>
      <c r="U20" s="197" t="n"/>
      <c r="V20" s="197" t="n"/>
      <c r="W20" s="197" t="n"/>
      <c r="X20" s="197" t="n"/>
      <c r="Y20" s="197" t="n"/>
      <c r="Z20" s="197" t="n"/>
    </row>
    <row r="21">
      <c r="A21" s="386" t="inlineStr">
        <is>
          <t>NFC-write_encrypted</t>
        </is>
      </c>
      <c r="B21" s="387" t="inlineStr">
        <is>
          <t>Test writing a encrypted 'text'-type message to an NFC tag via a form</t>
        </is>
      </c>
      <c r="C21" s="387" t="inlineStr">
        <is>
          <t>1. Go to Start &gt; 'Case List - Encryption' &gt; 'Register - Encrypted'
2. Enter any value for the Name question, and then click Next. Note the Name
3. Click the "Get Data" button
4. Hold your NFC bracelet up to the 'u' in 'nexus' on the back of the tab
5. Confirm that the write succeeds. You can tell that it did if a) you don't get any error messages, and b) a case ID is now showing on the screen; this is the value that was written to the bracelet. Note the ID
4. Submit the form</t>
        </is>
      </c>
      <c r="D21" s="137" t="n"/>
      <c r="E21" s="198" t="n"/>
      <c r="F21" s="198" t="n"/>
      <c r="G21" s="507" t="n"/>
      <c r="H21" s="507" t="n"/>
      <c r="I21" s="140" t="inlineStr">
        <is>
          <t>Not automatable</t>
        </is>
      </c>
      <c r="J21" s="0" t="inlineStr">
        <is>
          <t>N/A</t>
        </is>
      </c>
      <c r="K21" s="0" t="n"/>
      <c r="L21" s="507" t="n"/>
      <c r="M21" s="507" t="n"/>
      <c r="N21" s="507" t="n"/>
      <c r="O21" s="507" t="n"/>
      <c r="P21" s="507" t="n"/>
      <c r="Q21" s="507" t="n"/>
      <c r="R21" s="507" t="n"/>
      <c r="S21" s="507" t="n"/>
      <c r="T21" s="507" t="n"/>
      <c r="U21" s="197" t="n"/>
      <c r="V21" s="197" t="n"/>
      <c r="W21" s="197" t="n"/>
      <c r="X21" s="197" t="n"/>
      <c r="Y21" s="197" t="n"/>
      <c r="Z21" s="197" t="n"/>
    </row>
    <row r="22">
      <c r="A22" s="387" t="inlineStr">
        <is>
          <t>NFC-read_encrypted_wrong_case</t>
        </is>
      </c>
      <c r="B22" s="387" t="inlineStr">
        <is>
          <t>Test reading the encrypted message with wrong case</t>
        </is>
      </c>
      <c r="C22" s="542" t="inlineStr">
        <is>
          <t>1. Reopen CommCare
2. Go to 'Case List - Encryption' &gt; 'Read - Encrypted'
3. Select any case other than one you wrote to in row 21 above and enter the form
4. Click the "Get Data" button for "Scan with wrong Key - Should always Fail"
5. Hold the same NFC bracelet up to the 'u' in 'nexus' on the back of the tab
6.  Verify that you get a message "We don't understand the format for this message"
7. Press next and click the "Get Data" button for "Untagged Scan"
8. Hold the same NFC bracelet up to the 'u' in 'nexus' on the back of the tab
9. Confirm that the screen now shows the some random text
10. Press next and click the "Get Data" button for "Scan with right key - Should pass for the right case
11. Hold the same NFC bracelet up to the 'u' in 'nexus' on the back of the tab
12. Verify that you get a message "We don't understand the format for this message"
13. Submit the form</t>
        </is>
      </c>
      <c r="D22" s="137" t="n"/>
      <c r="E22" s="198" t="n"/>
      <c r="F22" s="198" t="n"/>
      <c r="G22" s="507" t="n"/>
      <c r="H22" s="507" t="n"/>
      <c r="I22" s="140" t="inlineStr">
        <is>
          <t>Not automatable</t>
        </is>
      </c>
      <c r="J22" s="0" t="inlineStr">
        <is>
          <t>N/A</t>
        </is>
      </c>
      <c r="K22" s="0" t="n"/>
      <c r="L22" s="507" t="n"/>
      <c r="M22" s="507" t="n"/>
      <c r="N22" s="507" t="n"/>
      <c r="O22" s="507" t="n"/>
      <c r="P22" s="507" t="n"/>
      <c r="Q22" s="507" t="n"/>
      <c r="R22" s="507" t="n"/>
      <c r="S22" s="507" t="n"/>
      <c r="T22" s="507" t="n"/>
      <c r="U22" s="197" t="n"/>
      <c r="V22" s="197" t="n"/>
      <c r="W22" s="197" t="n"/>
      <c r="X22" s="197" t="n"/>
      <c r="Y22" s="197" t="n"/>
      <c r="Z22" s="197" t="n"/>
    </row>
    <row r="23">
      <c r="A23" s="387" t="inlineStr">
        <is>
          <t>NFC-read_encrypted_right_case</t>
        </is>
      </c>
      <c r="B23" s="387" t="inlineStr">
        <is>
          <t>Test reading the encrypted message with right case</t>
        </is>
      </c>
      <c r="C23" s="542" t="inlineStr">
        <is>
          <t>1. Reopen CommCare
2. Go to 'Case List - Encryption' &gt; 'Read - Encrypted'
3. Select the case that you wrote to in row 21 above and enter the form
4. Click the "Get Data" button for "Scan with wrong Key - Should always Fail"
5. Hold the same NFC bracelet up to the 'u' in 'nexus' on the back of the tab
6. Verify that you get a message "An error occurred while attempting to decrypt the message"
7. Press next and click the "Get Data" button for "Untagged Scan"
8. Hold the same NFC bracelet up to the 'u' in 'nexus' on the back of the tab
9. Confirm that the screen now shows the same case ID as was written most recently (this value has now been read from your bracelet)
10. Press next and click the "Get Data" button for "Scan with right key - Should pass for the right case
11. Hold the same NFC bracelet up to the 'u' in 'nexus' on the back of the tab
12. Confirm that the screen now shows the same case ID as was written most recently (this value has now been read from your bracelet)
13. Submit the form</t>
        </is>
      </c>
      <c r="D23" s="137" t="n"/>
      <c r="E23" s="198" t="n"/>
      <c r="F23" s="198" t="n"/>
      <c r="G23" s="507" t="n"/>
      <c r="H23" s="507" t="n"/>
      <c r="I23" s="140" t="inlineStr">
        <is>
          <t>Not automatable</t>
        </is>
      </c>
      <c r="J23" s="0" t="inlineStr">
        <is>
          <t>N/A</t>
        </is>
      </c>
      <c r="K23" s="0" t="n"/>
      <c r="L23" s="507" t="n"/>
      <c r="M23" s="507" t="n"/>
      <c r="N23" s="507" t="n"/>
      <c r="O23" s="507" t="n"/>
      <c r="P23" s="507" t="n"/>
      <c r="Q23" s="507" t="n"/>
      <c r="R23" s="507" t="n"/>
      <c r="S23" s="507" t="n"/>
      <c r="T23" s="507" t="n"/>
      <c r="U23" s="197" t="n"/>
      <c r="V23" s="197" t="n"/>
      <c r="W23" s="197" t="n"/>
      <c r="X23" s="197" t="n"/>
      <c r="Y23" s="197" t="n"/>
      <c r="Z23" s="197" t="n"/>
    </row>
  </sheetData>
  <mergeCells count="1">
    <mergeCell ref="A5:C5"/>
  </mergeCells>
  <conditionalFormatting sqref="D8:D23">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23" showDropDown="0" showInputMessage="0" showErrorMessage="1" allowBlank="1" type="list">
      <formula1>"Pass,Fail,N/A,Blocking"</formula1>
    </dataValidation>
  </dataValidations>
  <hyperlinks>
    <hyperlink xmlns:r="http://schemas.openxmlformats.org/officeDocument/2006/relationships" ref="B3" r:id="rId1"/>
  </hyperlinks>
  <pageMargins left="0.75" right="0.75" top="1" bottom="1" header="0.5" footer="0.5"/>
</worksheet>
</file>

<file path=xl/worksheets/sheet30.xml><?xml version="1.0" encoding="utf-8"?>
<worksheet xmlns="http://schemas.openxmlformats.org/spreadsheetml/2006/main">
  <sheetPr>
    <tabColor rgb="FFFF0000"/>
    <outlinePr summaryBelow="0" summaryRight="0"/>
    <pageSetUpPr/>
  </sheetPr>
  <dimension ref="A1:J12"/>
  <sheetViews>
    <sheetView workbookViewId="0">
      <selection activeCell="A1" sqref="A1"/>
    </sheetView>
  </sheetViews>
  <sheetFormatPr baseColWidth="8" defaultColWidth="17.29" defaultRowHeight="15" customHeight="1"/>
  <cols>
    <col width="19" customWidth="1" style="629" min="1" max="1"/>
    <col width="98.29000000000001" customWidth="1" style="629" min="3" max="3"/>
    <col width="29.14" customWidth="1" style="629" min="4" max="4"/>
    <col width="22" customWidth="1" style="629" min="8" max="8"/>
    <col width="22" customWidth="1" style="629" min="9" max="9"/>
    <col width="22" customWidth="1" style="629" min="10" max="10"/>
  </cols>
  <sheetData>
    <row r="1">
      <c r="A1" s="536" t="inlineStr">
        <is>
          <t>Tests</t>
        </is>
      </c>
      <c r="B1" s="387" t="inlineStr">
        <is>
          <t>Device Logs</t>
        </is>
      </c>
      <c r="C1" s="638" t="n"/>
      <c r="D1" s="510" t="n"/>
      <c r="E1" s="508" t="n"/>
      <c r="F1" s="60" t="n"/>
      <c r="G1" s="60" t="n"/>
      <c r="H1" s="60" t="n"/>
      <c r="I1" s="60" t="n"/>
    </row>
    <row r="2">
      <c r="A2" s="536" t="inlineStr">
        <is>
          <t>Summary:</t>
        </is>
      </c>
      <c r="B2" s="387" t="inlineStr">
        <is>
          <t>Checking HQ generated request for device logs</t>
        </is>
      </c>
      <c r="C2" s="638" t="n"/>
      <c r="D2" s="510" t="n"/>
      <c r="E2" s="511" t="n"/>
      <c r="F2" s="60" t="n"/>
      <c r="G2" s="60" t="n"/>
      <c r="H2" s="60" t="n"/>
      <c r="I2" s="60" t="n"/>
    </row>
    <row r="3">
      <c r="A3" s="536" t="inlineStr">
        <is>
          <t>Domain:</t>
        </is>
      </c>
      <c r="B3" s="702" t="inlineStr">
        <is>
          <t xml:space="preserve">https://www.commcarehq.org/a/qateam/apps/view/cdfa6c85eb594b23b0c08729cd2beff1/
</t>
        </is>
      </c>
      <c r="C3" s="638" t="n"/>
      <c r="D3" s="510" t="n"/>
      <c r="E3" s="511" t="n"/>
      <c r="F3" s="60" t="n"/>
      <c r="G3" s="60" t="n"/>
      <c r="H3" s="60" t="n"/>
      <c r="I3" s="60" t="n"/>
    </row>
    <row r="4">
      <c r="A4" s="536" t="inlineStr">
        <is>
          <t xml:space="preserve">Application: </t>
        </is>
      </c>
      <c r="B4" s="387" t="inlineStr">
        <is>
          <t>Basic Tests</t>
        </is>
      </c>
      <c r="C4" s="638" t="n"/>
      <c r="D4" s="510" t="n"/>
      <c r="E4" s="511" t="n"/>
      <c r="F4" s="60" t="n"/>
      <c r="G4" s="60" t="n"/>
      <c r="H4" s="60" t="n"/>
      <c r="I4" s="60" t="n"/>
    </row>
    <row r="5">
      <c r="A5" s="536" t="inlineStr">
        <is>
          <t>Prerequisites</t>
        </is>
      </c>
      <c r="B5" s="155" t="inlineStr">
        <is>
          <t>1. Superuser Access to HQ. 
2. A Sumologic account
3. The app must have Custom Property 'logenabled' defined and set to value 'on_demand'</t>
        </is>
      </c>
      <c r="C5" s="638" t="n"/>
      <c r="D5" s="510" t="n"/>
      <c r="E5" s="511" t="n"/>
      <c r="F5" s="60" t="n"/>
      <c r="G5" s="60" t="n"/>
      <c r="H5" s="60" t="n"/>
      <c r="I5" s="60" t="n"/>
    </row>
    <row r="6">
      <c r="A6" s="525" t="n"/>
      <c r="B6" s="355" t="n"/>
      <c r="C6" s="355" t="n"/>
      <c r="D6" s="528" t="n"/>
      <c r="E6" s="355" t="n"/>
      <c r="F6" s="60" t="n"/>
      <c r="G6" s="60" t="n"/>
      <c r="H6" s="60" t="n"/>
      <c r="I6" s="60" t="n"/>
    </row>
    <row r="7">
      <c r="A7" s="536" t="inlineStr">
        <is>
          <t>Test Case ID</t>
        </is>
      </c>
      <c r="B7" s="536" t="inlineStr">
        <is>
          <t>Summary</t>
        </is>
      </c>
      <c r="C7" s="536" t="inlineStr">
        <is>
          <t>Steps</t>
        </is>
      </c>
      <c r="D7" s="537" t="inlineStr">
        <is>
          <t>Pass/Fail</t>
        </is>
      </c>
      <c r="E7" s="536" t="inlineStr">
        <is>
          <t>Notes</t>
        </is>
      </c>
      <c r="F7" s="536" t="inlineStr">
        <is>
          <t>Ticket ID</t>
        </is>
      </c>
      <c r="G7" s="60" t="n"/>
      <c r="H7" s="695" t="inlineStr">
        <is>
          <t>Maestro Automatability</t>
        </is>
      </c>
      <c r="I7" s="695" t="inlineStr">
        <is>
          <t>Automated?</t>
        </is>
      </c>
      <c r="J7" s="663" t="inlineStr">
        <is>
          <t>Flow File</t>
        </is>
      </c>
    </row>
    <row r="8">
      <c r="A8" s="530" t="inlineStr">
        <is>
          <t>Device Logs</t>
        </is>
      </c>
      <c r="B8" s="387" t="n"/>
      <c r="C8" s="387" t="n"/>
      <c r="D8" s="521" t="n"/>
      <c r="E8" s="521" t="n"/>
      <c r="F8" s="521" t="n"/>
      <c r="G8" s="60" t="n"/>
      <c r="H8" s="60" t="n"/>
      <c r="I8" s="60" t="n"/>
    </row>
    <row r="9">
      <c r="A9" s="521" t="inlineStr">
        <is>
          <t>Device Logs 1</t>
        </is>
      </c>
      <c r="B9" s="387" t="inlineStr">
        <is>
          <t>Install</t>
        </is>
      </c>
      <c r="C9" s="184" t="inlineStr">
        <is>
          <t>Pre- Requisite: Set the value to 1 for the Feature Flag 
1. Install the CommCare apk in test
2. Install a corresponding version of Basic Tests, linked above
3. Login as test1/123
4. Submit Basic Form
5. Log out of mobile</t>
        </is>
      </c>
      <c r="D9" s="387" t="n"/>
      <c r="E9" s="387" t="inlineStr">
        <is>
          <t>Partial: hq_setup/trigger_device_logs/device_logs_1_feature_flag.json documents the one-time manual feature-flag toggle (not a repeatable HQ API call), and flows/trigger_device_logs/device_logs_1_submit_form.yaml automates the on-device install+login+submit+logout steps.</t>
        </is>
      </c>
      <c r="F9" s="521" t="n"/>
      <c r="G9" s="60" t="n"/>
      <c r="H9" s="60" t="inlineStr">
        <is>
          <t>Partial</t>
        </is>
      </c>
      <c r="I9" s="676" t="inlineStr">
        <is>
          <t>Yes</t>
        </is>
      </c>
      <c r="J9" s="0" t="inlineStr">
        <is>
          <t>hq_setup/trigger_device_logs/device_logs_1_feature_flag.json (manual one-time flag toggle); flows/trigger_device_logs/device_logs_1_submit_form.yaml</t>
        </is>
      </c>
    </row>
    <row r="10">
      <c r="A10" s="521" t="inlineStr">
        <is>
          <t>Device Logs 2</t>
        </is>
      </c>
      <c r="B10" s="521" t="inlineStr">
        <is>
          <t>Device Log info</t>
        </is>
      </c>
      <c r="C10" s="538">
        <f>HYPERLINK("https://www.commcarehq.org/admin/ota/devicelogrequest/add/","1. Follow this link to the Django Admin page
2. Add: 
Domain (qateam)
Username: test1
3. Save")</f>
        <v/>
      </c>
      <c r="D10" s="387" t="n"/>
      <c r="E10" s="387" t="inlineStr">
        <is>
          <t>Automated via hq_client.py's create_device_log_request(domain, username) - a plain django.contrib.admin add-form POST (GET the add page for its csrfmiddlewaretoken, POST domain+username+_save, confirm the 302-to-changelist success). Verified live 2026-08-27: created a real DeviceLogRequest row (domain=qateam, username=test1), confirmed present on the changelist; a second run correctly hit the model's unique(domain,username) constraint and was treated as idempotent success, not a failure.</t>
        </is>
      </c>
      <c r="F10" s="521" t="n"/>
      <c r="G10" s="60" t="n"/>
      <c r="H10" s="60" t="inlineStr">
        <is>
          <t>Automatable</t>
        </is>
      </c>
      <c r="I10" s="675" t="inlineStr">
        <is>
          <t>Yes</t>
        </is>
      </c>
      <c r="J10" s="0" t="inlineStr">
        <is>
          <t>hq_setup/trigger_device_logs/device_logs_2_request.json</t>
        </is>
      </c>
    </row>
    <row r="11">
      <c r="A11" s="521" t="inlineStr">
        <is>
          <t>Device Logs 3</t>
        </is>
      </c>
      <c r="B11" s="521" t="inlineStr">
        <is>
          <t>Trigger</t>
        </is>
      </c>
      <c r="C11" s="521" t="inlineStr">
        <is>
          <t>1. Ensuring you have connection with your phone, log back into the app
2. Sync and wait 10 minutes to ensure connection w/Sumo Logic</t>
        </is>
      </c>
      <c r="D11" s="387" t="n"/>
      <c r="E11" s="387" t="inlineStr">
        <is>
          <t>RECLASSIFIED Partial (2026-09-01): this rows own pass criteria is just the on-device trigger action (login + sync) - the Not automatable verdict actually belonged to the separate Device Logs 4 row (Sumo Logic dashboard validation, a real external system with no API access here). flows/trigger_device_logs/device_logs_3_trigger.yaml automates login+sync, confirmed passing live. Deliberately does not wait the full 10 real minutes - nothing on-device is checked after Sync Successful, since Sumo receipt is out of scope here.</t>
        </is>
      </c>
      <c r="F11" s="521" t="n"/>
      <c r="G11" s="60" t="n"/>
      <c r="H11" s="60" t="inlineStr">
        <is>
          <t>Partial</t>
        </is>
      </c>
      <c r="I11" s="675" t="inlineStr">
        <is>
          <t>Yes</t>
        </is>
      </c>
      <c r="J11" s="0" t="inlineStr">
        <is>
          <t>flows/trigger_device_logs/device_logs_3_trigger.yaml</t>
        </is>
      </c>
    </row>
    <row r="12">
      <c r="A12" s="521" t="inlineStr">
        <is>
          <t>Device Logs 4</t>
        </is>
      </c>
      <c r="B12" s="387" t="inlineStr">
        <is>
          <t>Sumo validation</t>
        </is>
      </c>
      <c r="C12" s="184">
        <f>HYPERLINK("https://service.us2.sumologic.com/ui/#/home","1. Access Sumologic (linked)
2. Click on New --&gt; Log Search
3. Execute the following query:
* where domain = ""qateam""
4. Validate a log exists stating something akin to: 
""Form Entry Starting .. "" and ""Form entry completed .. """)</f>
        <v/>
      </c>
      <c r="D12" s="387" t="n"/>
      <c r="E12" s="387" t="inlineStr">
        <is>
          <t>Not automatable: validation happens entirely in Sumo Logic, a real external SaaS dashboard this program has no API access to - same class of gap as every other 'verify in a third-party system' row. Device Logs 3 (the on-device trigger action) is separately automated; this row is genuinely just the external-system check.</t>
        </is>
      </c>
      <c r="F12" s="521" t="n"/>
      <c r="G12" s="60" t="n"/>
      <c r="H12" s="60" t="inlineStr">
        <is>
          <t>Not automatable</t>
        </is>
      </c>
      <c r="I12" s="675" t="inlineStr">
        <is>
          <t>N/A</t>
        </is>
      </c>
    </row>
  </sheetData>
  <mergeCells count="5">
    <mergeCell ref="B2:C2"/>
    <mergeCell ref="B3:C3"/>
    <mergeCell ref="B5:C5"/>
    <mergeCell ref="B1:C1"/>
    <mergeCell ref="B4:C4"/>
  </mergeCells>
  <conditionalFormatting sqref="D9:D12">
    <cfRule type="containsText" priority="1" operator="containsText" dxfId="0" text="Pass">
      <formula>NOT(ISERROR(SEARCH(("Pass"),(D9))))</formula>
    </cfRule>
    <cfRule type="containsText" priority="2" operator="containsText" dxfId="1" text="Fail">
      <formula>NOT(ISERROR(SEARCH(("Fail"),(D9))))</formula>
    </cfRule>
    <cfRule type="containsText" priority="3" operator="containsText" dxfId="2" text="N/A">
      <formula>NOT(ISERROR(SEARCH(("N/A"),(D9))))</formula>
    </cfRule>
    <cfRule type="containsText" priority="4" operator="containsText" dxfId="3" text="Blocking">
      <formula>NOT(ISERROR(SEARCH(("Blocking"),(D9))))</formula>
    </cfRule>
  </conditionalFormatting>
  <dataValidations count="1">
    <dataValidation sqref="D9:D12"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C9" r:id="rId2"/>
  </hyperlink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J34"/>
  <sheetViews>
    <sheetView workbookViewId="0">
      <selection activeCell="A1" sqref="A1"/>
    </sheetView>
  </sheetViews>
  <sheetFormatPr baseColWidth="8" defaultColWidth="17.29" defaultRowHeight="15" customHeight="1"/>
  <cols>
    <col width="17.71" customWidth="1" style="629" min="1" max="1"/>
    <col width="39.57" customWidth="1" style="629" min="2" max="2"/>
    <col width="56.71" customWidth="1" style="629" min="3" max="3"/>
    <col width="21.57" customWidth="1" style="629" min="4" max="4"/>
    <col width="42.14" customWidth="1" style="629" min="5" max="5"/>
    <col width="43.57" customWidth="1" style="629" min="6" max="6"/>
    <col width="22" customWidth="1" style="629" min="8" max="8"/>
    <col width="22" customWidth="1" style="629" min="9" max="9"/>
    <col width="22" customWidth="1" style="629" min="10" max="10"/>
  </cols>
  <sheetData>
    <row r="1">
      <c r="A1" s="536" t="inlineStr">
        <is>
          <t>Tests</t>
        </is>
      </c>
      <c r="B1" s="387" t="inlineStr">
        <is>
          <t>2.49 Tests</t>
        </is>
      </c>
      <c r="C1" s="638" t="n"/>
      <c r="D1" s="166" t="n"/>
      <c r="E1" s="382" t="n"/>
      <c r="F1" s="166" t="n"/>
    </row>
    <row r="2">
      <c r="A2" s="536" t="inlineStr">
        <is>
          <t>Summary:</t>
        </is>
      </c>
      <c r="B2" s="387" t="inlineStr">
        <is>
          <t>A series of tests beginning on 2.49. QA will likely later divide these tests into their own tabs, or integrate them with existing tabs. For the sake of testing all new features first, they are currently grouped.</t>
        </is>
      </c>
      <c r="C2" s="638" t="n"/>
      <c r="D2" s="166" t="n"/>
      <c r="E2" s="382" t="n"/>
      <c r="F2" s="166" t="n"/>
    </row>
    <row r="3">
      <c r="A3" s="536" t="inlineStr">
        <is>
          <t>Domain:</t>
        </is>
      </c>
      <c r="B3" s="387" t="inlineStr">
        <is>
          <t>Multiple</t>
        </is>
      </c>
      <c r="C3" s="638" t="n"/>
      <c r="D3" s="166" t="n"/>
      <c r="E3" s="382" t="n"/>
      <c r="F3" s="166" t="n"/>
    </row>
    <row r="4">
      <c r="A4" s="536" t="inlineStr">
        <is>
          <t xml:space="preserve">Application: </t>
        </is>
      </c>
      <c r="B4" s="702" t="inlineStr">
        <is>
          <t>1. Rate Limiting
2. Basic Tests
3. Mapbox Tests</t>
        </is>
      </c>
      <c r="C4" s="638" t="n"/>
      <c r="D4" s="166" t="n"/>
      <c r="E4" s="382" t="n"/>
      <c r="F4" s="166" t="n"/>
    </row>
    <row r="5">
      <c r="A5" s="536" t="inlineStr">
        <is>
          <t>Prerequisites</t>
        </is>
      </c>
      <c r="B5" s="155" t="inlineStr">
        <is>
          <t>Some tests require superuser access</t>
        </is>
      </c>
      <c r="C5" s="638" t="n"/>
      <c r="D5" s="166" t="n"/>
      <c r="E5" s="382" t="n"/>
      <c r="F5" s="166" t="n"/>
    </row>
    <row r="6">
      <c r="A6" s="166" t="n"/>
      <c r="B6" s="166" t="n"/>
      <c r="C6" s="166" t="n"/>
      <c r="D6" s="166" t="n"/>
      <c r="E6" s="382" t="n"/>
      <c r="F6" s="166" t="n"/>
    </row>
    <row r="7">
      <c r="A7" s="536" t="inlineStr">
        <is>
          <t>Test Case ID</t>
        </is>
      </c>
      <c r="B7" s="536" t="inlineStr">
        <is>
          <t>Summary</t>
        </is>
      </c>
      <c r="C7" s="536" t="inlineStr">
        <is>
          <t>Steps</t>
        </is>
      </c>
      <c r="D7" s="537" t="inlineStr">
        <is>
          <t>Pass/Fail</t>
        </is>
      </c>
      <c r="E7" s="536" t="inlineStr">
        <is>
          <t>Notes</t>
        </is>
      </c>
      <c r="F7" s="470" t="inlineStr">
        <is>
          <t>Ticket ID</t>
        </is>
      </c>
      <c r="H7" s="663" t="inlineStr">
        <is>
          <t>Maestro Automatability</t>
        </is>
      </c>
      <c r="I7" s="663" t="inlineStr">
        <is>
          <t>Automated?</t>
        </is>
      </c>
      <c r="J7" s="663" t="inlineStr">
        <is>
          <t>Flow File</t>
        </is>
      </c>
    </row>
    <row r="8">
      <c r="A8" s="521" t="inlineStr">
        <is>
          <t>Rate limit 1</t>
        </is>
      </c>
      <c r="B8" s="387" t="inlineStr">
        <is>
          <t>Download app</t>
        </is>
      </c>
      <c r="C8" s="523" t="inlineStr">
        <is>
          <t>1. Download this intentionally rate limited app
2. Log in as mobile worker/password: test1/123</t>
        </is>
      </c>
      <c r="D8" s="564" t="n"/>
      <c r="E8" s="349" t="inlineStr">
        <is>
          <t>(based on this ticket)</t>
        </is>
      </c>
      <c r="F8" s="204" t="n"/>
      <c r="H8" s="0" t="inlineStr">
        <is>
          <t>Partial</t>
        </is>
      </c>
      <c r="I8" s="672" t="inlineStr">
        <is>
          <t>Yes</t>
        </is>
      </c>
      <c r="J8" s="0" t="inlineStr">
        <is>
          <t>hq_setup/updates_2_49/rate_limit_provisioning.json</t>
        </is>
      </c>
    </row>
    <row r="9">
      <c r="A9" s="521" t="inlineStr">
        <is>
          <t>Rate limit 2</t>
        </is>
      </c>
      <c r="B9" s="387" t="inlineStr">
        <is>
          <t>Popup, close</t>
        </is>
      </c>
      <c r="C9" s="387" t="inlineStr">
        <is>
          <t>1. Deploy the app to mobile
2. Submit the only form on the app
3. Enure you get a popup stating:
You've reached your form submission rate limit
Form submissions will be saved locally on your phone until rate limiting expires. Not to worry, all forms will be auto-synced to the server later. Contact your CommCare admin for more information.
4. Ensure when click on 'Sync with server' there are two buttons: Don't show again and close
5. Hit close</t>
        </is>
      </c>
      <c r="D9" s="564" t="n"/>
      <c r="E9" s="387" t="n"/>
      <c r="F9" s="204" t="n"/>
      <c r="H9" s="0" t="inlineStr">
        <is>
          <t>Automatable</t>
        </is>
      </c>
      <c r="I9" s="672" t="inlineStr">
        <is>
          <t>Yes</t>
        </is>
      </c>
      <c r="J9" s="0" t="inlineStr">
        <is>
          <t>flows/updates_2_49/rate_limit_02_04_popup_dont_show_toast.yaml</t>
        </is>
      </c>
    </row>
    <row r="10">
      <c r="A10" s="521" t="inlineStr">
        <is>
          <t>Rate limit 3</t>
        </is>
      </c>
      <c r="B10" s="204" t="inlineStr">
        <is>
          <t>Popup, Don't show again</t>
        </is>
      </c>
      <c r="C10" s="387" t="inlineStr">
        <is>
          <t>1. Remaining on mobile, submit the form again
2. Ensure the popup appears once more. This time hit 'Don't show again.'</t>
        </is>
      </c>
      <c r="D10" s="564" t="n"/>
      <c r="E10" s="387" t="n"/>
      <c r="F10" s="204" t="n"/>
      <c r="H10" s="0" t="inlineStr">
        <is>
          <t>Automatable</t>
        </is>
      </c>
      <c r="I10" s="672" t="inlineStr">
        <is>
          <t>Yes</t>
        </is>
      </c>
      <c r="J10" s="0" t="inlineStr">
        <is>
          <t>flows/updates_2_49/rate_limit_02_04_popup_dont_show_toast.yaml</t>
        </is>
      </c>
    </row>
    <row r="11">
      <c r="A11" s="521" t="inlineStr">
        <is>
          <t>Rate limit 4</t>
        </is>
      </c>
      <c r="B11" s="204" t="inlineStr">
        <is>
          <t>Info Text</t>
        </is>
      </c>
      <c r="C11" s="387" t="inlineStr">
        <is>
          <t>1. Remaining on mobile, submit the form again
2. This time, ensure the popup doesn't appear but rather text at the bottom of the screen states"
"Form submission rate limit reached. Your forms are being saved locally and will be submitted to the server later."
3. Ensure it disappears after a few seconds</t>
        </is>
      </c>
      <c r="D11" s="564" t="n"/>
      <c r="E11" s="387" t="n"/>
      <c r="F11" s="204" t="n"/>
      <c r="H11" s="0" t="inlineStr">
        <is>
          <t>Automatable</t>
        </is>
      </c>
      <c r="I11" s="672" t="inlineStr">
        <is>
          <t>Yes</t>
        </is>
      </c>
      <c r="J11" s="0" t="inlineStr">
        <is>
          <t>flows/updates_2_49/rate_limit_02_04_popup_dont_show_toast.yaml</t>
        </is>
      </c>
    </row>
    <row r="12">
      <c r="A12" s="521" t="inlineStr">
        <is>
          <t>Rate limit 5</t>
        </is>
      </c>
      <c r="B12" s="387" t="inlineStr">
        <is>
          <t>Web Apps</t>
        </is>
      </c>
      <c r="C12" s="387" t="inlineStr">
        <is>
          <t>1. Return to HQ and open App Preview
2. Attempt to submit the only form on the app
3. Ensure you're unable to</t>
        </is>
      </c>
      <c r="D12" s="564" t="n"/>
      <c r="E12" s="387" t="inlineStr">
        <is>
          <t>Not automatable: tests HQ's own Web Apps browser interface, not the CommCare Android app - this program automates the mobile app only (Maestro/Appium), with no web-browser automation tool (e.g. Selenium/Playwright) in its stack.</t>
        </is>
      </c>
      <c r="F12" s="204" t="n"/>
      <c r="H12" s="0" t="inlineStr">
        <is>
          <t>Not automatable</t>
        </is>
      </c>
      <c r="I12" s="671" t="inlineStr">
        <is>
          <t>N/A</t>
        </is>
      </c>
    </row>
    <row r="13">
      <c r="A13" s="521" t="inlineStr">
        <is>
          <t>Rate limit 6</t>
        </is>
      </c>
      <c r="B13" s="387" t="inlineStr">
        <is>
          <t>App Preview</t>
        </is>
      </c>
      <c r="C13" s="387" t="inlineStr">
        <is>
          <t>1. Return to HQ and open Web Apps
2. Attempt to submit the only form on the app
3. Ensure you're unable to</t>
        </is>
      </c>
      <c r="D13" s="564" t="n"/>
      <c r="E13" s="387" t="inlineStr">
        <is>
          <t>Not automatable: tests HQ's own App Preview browser interface, not the CommCare Android app - same reason as Rate limit 5, no web-browser automation in this program's stack.</t>
        </is>
      </c>
      <c r="F13" s="204" t="n"/>
      <c r="H13" s="0" t="inlineStr">
        <is>
          <t>Not automatable</t>
        </is>
      </c>
      <c r="I13" s="671" t="inlineStr">
        <is>
          <t>N/A</t>
        </is>
      </c>
    </row>
    <row r="14">
      <c r="A14" s="536" t="inlineStr">
        <is>
          <t>Test Case ID</t>
        </is>
      </c>
      <c r="B14" s="536" t="inlineStr">
        <is>
          <t>Summary</t>
        </is>
      </c>
      <c r="C14" s="536" t="inlineStr">
        <is>
          <t>Steps</t>
        </is>
      </c>
      <c r="D14" s="537" t="inlineStr">
        <is>
          <t>Pass/Fail</t>
        </is>
      </c>
      <c r="E14" s="536" t="inlineStr">
        <is>
          <t>Notes</t>
        </is>
      </c>
      <c r="F14" s="204" t="n"/>
      <c r="H14" s="663" t="inlineStr">
        <is>
          <t>Maestro Automatability</t>
        </is>
      </c>
      <c r="I14" s="663" t="inlineStr">
        <is>
          <t>Automated?</t>
        </is>
      </c>
      <c r="J14" s="663" t="inlineStr">
        <is>
          <t>Flow File</t>
        </is>
      </c>
    </row>
    <row r="15">
      <c r="A15" s="521" t="inlineStr">
        <is>
          <t>Auto CC Update 1</t>
        </is>
      </c>
      <c r="B15" s="387" t="inlineStr">
        <is>
          <t>Install</t>
        </is>
      </c>
      <c r="C15" s="531" t="inlineStr">
        <is>
          <t>1. Ensure you're on the CommCare version in test 
2. Download Version a lower released version of the Basic Tests app
3. Enter the app with a test mobile worker (test1/1234) and sync
4. Log out of the app</t>
        </is>
      </c>
      <c r="D15" s="532" t="n"/>
      <c r="E15" s="533" t="inlineStr">
        <is>
          <t xml:space="preserve">
Pre-requisite : The version being downloaded should have Auto Updates setting set to 'Daily.'</t>
        </is>
      </c>
      <c r="F15" s="204" t="n"/>
      <c r="H15" s="0" t="inlineStr">
        <is>
          <t>Partial</t>
        </is>
      </c>
      <c r="I15" s="672" t="inlineStr">
        <is>
          <t>Yes</t>
        </is>
      </c>
      <c r="J15" s="0" t="inlineStr">
        <is>
          <t>hq_setup/updates_2_49/auto_cc_update_daily_preset.json</t>
        </is>
      </c>
    </row>
    <row r="16">
      <c r="A16" s="521" t="inlineStr">
        <is>
          <t>Auto CC Update 2</t>
        </is>
      </c>
      <c r="B16" s="387" t="inlineStr">
        <is>
          <t>Submit</t>
        </is>
      </c>
      <c r="C16" s="533" t="inlineStr">
        <is>
          <t>1. Wait at least 15 minutes 
2. Log back into the App
3. Ensure the newest version of the app is downloaded and ready to be installed</t>
        </is>
      </c>
      <c r="D16" s="564" t="n"/>
      <c r="E16" s="533" t="inlineStr">
        <is>
          <t>8 hours here is the max time interval for update here - what that means is we can check in smaller time intervals like 15 mins or so and the app should update ideally; Though if the app doesn't update we can only call the test case a "Fail" if it doesn't update even after 8 hours.</t>
        </is>
      </c>
      <c r="F16" s="204" t="n"/>
      <c r="H16" s="0" t="inlineStr">
        <is>
          <t>Not automatable</t>
        </is>
      </c>
      <c r="I16" s="671" t="inlineStr">
        <is>
          <t>N/A</t>
        </is>
      </c>
    </row>
    <row r="17">
      <c r="A17" s="521" t="inlineStr">
        <is>
          <t>Auto CC Update 3</t>
        </is>
      </c>
      <c r="B17" s="387" t="inlineStr">
        <is>
          <t>Update</t>
        </is>
      </c>
      <c r="C17" s="387" t="inlineStr">
        <is>
          <t xml:space="preserve">1. Re-login with the mobile worker in Auto CC Update 1
2. Sync
3. Ensure sync successful
4. Compare against the release page and ensure you're on the latest version of the app </t>
        </is>
      </c>
      <c r="D17" s="564" t="n"/>
      <c r="E17" s="544" t="n"/>
      <c r="F17" s="204" t="n"/>
      <c r="H17" s="0" t="inlineStr">
        <is>
          <t>Automatable</t>
        </is>
      </c>
      <c r="I17" s="672" t="inlineStr">
        <is>
          <t>Yes</t>
        </is>
      </c>
      <c r="J17" s="0" t="inlineStr">
        <is>
          <t>flows/updates_2_49/auto_cc_update_03_relogin_sync_latest_version.yaml</t>
        </is>
      </c>
    </row>
    <row r="18">
      <c r="A18" s="535" t="inlineStr">
        <is>
          <t>Test Case ID</t>
        </is>
      </c>
      <c r="B18" s="536" t="inlineStr">
        <is>
          <t>Summary</t>
        </is>
      </c>
      <c r="C18" s="536" t="inlineStr">
        <is>
          <t>Steps</t>
        </is>
      </c>
      <c r="D18" s="537" t="inlineStr">
        <is>
          <t>Pass/Fail</t>
        </is>
      </c>
      <c r="E18" s="536" t="inlineStr">
        <is>
          <t>Notes</t>
        </is>
      </c>
      <c r="F18" s="204" t="n"/>
      <c r="H18" s="663" t="inlineStr">
        <is>
          <t>Maestro Automatability</t>
        </is>
      </c>
      <c r="I18" s="663" t="inlineStr">
        <is>
          <t>Automated?</t>
        </is>
      </c>
      <c r="J18" s="663" t="inlineStr">
        <is>
          <t>Flow File</t>
        </is>
      </c>
    </row>
    <row r="19">
      <c r="A19" s="387" t="inlineStr">
        <is>
          <t>Setup 1</t>
        </is>
      </c>
      <c r="B19" s="387" t="inlineStr">
        <is>
          <t>Confirm config is visible</t>
        </is>
      </c>
      <c r="C19" s="387" t="inlineStr">
        <is>
          <t>1.Go to the Basic Test app's  deploy page, and Confirm that the “Manage Update Options” tab is visible
2.Go to “Manage Update Settings” tab and Note the settings (so that we can revert back later)</t>
        </is>
      </c>
      <c r="D19" s="564" t="n"/>
      <c r="E19" s="539" t="inlineStr">
        <is>
          <t>Automated via hq_client.py's get_prompt_update_settings(app_id) - an authenticated GET on the app's Releases page (where the Manage Update Options tab renders), parsed for each select's selected option (apk_prompt/apk_version/app_prompt/app_version). Verified live 2026-08-27 against '[Master] Basic Tests NS Copy' - returns real, non-null current settings, confirming the tab renders and the values are captured for later revert.</t>
        </is>
      </c>
      <c r="F19" s="204" t="n"/>
      <c r="H19" s="0" t="inlineStr">
        <is>
          <t>Automatable</t>
        </is>
      </c>
      <c r="I19" s="671" t="inlineStr">
        <is>
          <t>Yes</t>
        </is>
      </c>
      <c r="J19" s="0" t="inlineStr">
        <is>
          <t>hq_setup/updates_2_49/setup_01_confirm_update_options_tab.json</t>
        </is>
      </c>
    </row>
    <row r="20">
      <c r="A20" s="387" t="inlineStr">
        <is>
          <t>Setup 2</t>
        </is>
      </c>
      <c r="B20" s="387" t="inlineStr">
        <is>
          <t>Configure setting</t>
        </is>
      </c>
      <c r="C20" s="387" t="inlineStr">
        <is>
          <t>In the “Manage Update Settings” tab , set Prompt Updates to CommCare as "On" , Prompt Updates to App as “On”, and CommCare Version as one version higher than the version in test (so if you're testing 2.50, select it as 2.51) then click “Save"</t>
        </is>
      </c>
      <c r="D20" s="564" t="n"/>
      <c r="E20" s="539" t="inlineStr">
        <is>
          <t>Partial: hq_setup/updates_2_49/setup_02_commcare_version_plus_one.json automates setting Prompt Updates to CommCare/App On and CommCare Version one above the version under test, via HQ's set_prompt_update_settings.</t>
        </is>
      </c>
      <c r="F20" s="541" t="inlineStr">
        <is>
          <t>Only superusers are expected to see the non-released versions.</t>
        </is>
      </c>
      <c r="H20" s="0" t="inlineStr">
        <is>
          <t>Partial</t>
        </is>
      </c>
      <c r="I20" s="672" t="inlineStr">
        <is>
          <t>Yes</t>
        </is>
      </c>
      <c r="J20" s="0" t="inlineStr">
        <is>
          <t>hq_setup/updates_2_49/setup_02_commcare_version_plus_one.json</t>
        </is>
      </c>
    </row>
    <row r="21">
      <c r="A21" s="387" t="inlineStr">
        <is>
          <t xml:space="preserve">Prompted Update Scenario 1 </t>
        </is>
      </c>
      <c r="B21" s="387" t="inlineStr">
        <is>
          <t>Prompted Update 1</t>
        </is>
      </c>
      <c r="C21" s="387" t="inlineStr">
        <is>
          <t>1. Install a released version of Basic Tests app
2. Log in to the app on your device with user test1/123
3. Confirm you see a screen that says "New version of Commcare is Available".Clock on "I'll update later"
4. Verify that users can continue to use CommCare by skipping this.</t>
        </is>
      </c>
      <c r="D21" s="564" t="n"/>
      <c r="E21" s="539" t="inlineStr">
        <is>
          <t>Please verify the linked ticket during the actual Release cycle | Automated as part of a combined scenario with Prompted Update Scenario 2 (this is part 1/2: apk_prompt=on, optional). See flows/updates_2_49/prompted_update_scenario_01_ill_update_later.yaml.</t>
        </is>
      </c>
      <c r="F21" s="543" t="inlineStr">
        <is>
          <t>QA-3848</t>
        </is>
      </c>
      <c r="H21" s="0" t="inlineStr">
        <is>
          <t>Automatable</t>
        </is>
      </c>
      <c r="I21" s="672" t="inlineStr">
        <is>
          <t>Yes</t>
        </is>
      </c>
      <c r="J21" s="0" t="inlineStr">
        <is>
          <t>flows/updates_2_49/prompted_update_scenario_01_ill_update_later.yaml</t>
        </is>
      </c>
    </row>
    <row r="22">
      <c r="A22" s="387" t="inlineStr">
        <is>
          <t xml:space="preserve">Prompted Update Scenario 2 </t>
        </is>
      </c>
      <c r="B22" s="387" t="inlineStr">
        <is>
          <t>Prompted Update 2</t>
        </is>
      </c>
      <c r="C22" s="387" t="inlineStr">
        <is>
          <t>1. Go back to the “Manage Updates” tab and change the dropdown selection for "Prompt Updates to Commcare” to “Forced”, and then click save
2. Confirm you see a screen that says "New version of Commcare is Available" 
3. Verify that users cannot continue to use CommCare until they upgrade and the user sees a blocker screen that says "New version of Commcare is Required" and a option "Update Commcare via the playstore"</t>
        </is>
      </c>
      <c r="D22" s="564" t="n"/>
      <c r="E22" s="539" t="inlineStr">
        <is>
          <t>Automated as part of a combined scenario with Prompted Update Scenario 1 (this is part 2/2: apk_prompt=forced). ROOT CAUSE FOUND AND FIXED (2026-08-25): set_prompt_update_settings() POSTs the whole form every call, so apk_version was silently reverting to 'latest' whenever apk_prompt flipped to forced. Fixed by pinning apk_version to the same AUTO_DEV_BUILD sentinel Setup 2 uses. Confirmed working end-to-end - forced blocker now appears as expected.</t>
        </is>
      </c>
      <c r="F22" s="204" t="n"/>
      <c r="H22" s="0" t="inlineStr">
        <is>
          <t>Automatable</t>
        </is>
      </c>
      <c r="I22" s="672" t="inlineStr">
        <is>
          <t>Yes</t>
        </is>
      </c>
      <c r="J22" s="0" t="inlineStr">
        <is>
          <t>hq_setup/updates_2_49/prompted_update_scenario_02_forced.json + flows/updates_2_49/prompted_update_scenario_02_forced_commcare_update.yaml</t>
        </is>
      </c>
    </row>
    <row r="23">
      <c r="A23" s="387" t="inlineStr">
        <is>
          <t>Prompted Update Scenario 3</t>
        </is>
      </c>
      <c r="B23" s="387" t="inlineStr">
        <is>
          <t>Prompted Update 3</t>
        </is>
      </c>
      <c r="C23" s="387" t="inlineStr">
        <is>
          <t>1.  Go back to the “Manage Updates” tab and change the dropdown selection for "Prompt Updates to Commcare” to “Off”, and then click save
3. Log in to the app on your device with user test1/1234
Wait for 5-10 minutes before proceeding further
4. Press ‘Start’ and then go back
5. Confirm that NO prompt screen appears</t>
        </is>
      </c>
      <c r="D23" s="564" t="n"/>
      <c r="E23" s="539" t="inlineStr">
        <is>
          <t>Not automatable: requires a genuine 5-10 minute real-time wait between disabling the CommCare-version prompt and re-checking - impractical within CI's own build timeouts, same class of limitation as the Update tab's 'Reestablish connection' row.</t>
        </is>
      </c>
      <c r="F23" s="204" t="n"/>
      <c r="H23" s="0" t="inlineStr">
        <is>
          <t>Not automatable</t>
        </is>
      </c>
      <c r="I23" s="671" t="inlineStr">
        <is>
          <t>N/A</t>
        </is>
      </c>
    </row>
    <row r="24">
      <c r="A24" s="535" t="inlineStr">
        <is>
          <t>Test Case ID</t>
        </is>
      </c>
      <c r="B24" s="536" t="inlineStr">
        <is>
          <t>Summary</t>
        </is>
      </c>
      <c r="C24" s="536" t="inlineStr">
        <is>
          <t>Steps</t>
        </is>
      </c>
      <c r="D24" s="537" t="inlineStr">
        <is>
          <t>Pass/Fail</t>
        </is>
      </c>
      <c r="E24" s="536" t="inlineStr">
        <is>
          <t>Notes</t>
        </is>
      </c>
      <c r="F24" s="204" t="n"/>
      <c r="H24" s="663" t="inlineStr">
        <is>
          <t>Maestro Automatability</t>
        </is>
      </c>
      <c r="I24" s="663" t="inlineStr">
        <is>
          <t>Automated?</t>
        </is>
      </c>
      <c r="J24" s="663" t="inlineStr">
        <is>
          <t>Flow File</t>
        </is>
      </c>
    </row>
    <row r="25">
      <c r="A25" s="387" t="inlineStr">
        <is>
          <t>In-App Update 1</t>
        </is>
      </c>
      <c r="B25" s="387" t="inlineStr">
        <is>
          <t>Uninstall and become internal tester</t>
        </is>
      </c>
      <c r="C25" s="387" t="inlineStr">
        <is>
          <t>1. Uninstall CommCare entirely
2. Make yourself an internal tester in the playstore (see notes)</t>
        </is>
      </c>
      <c r="D25" s="564" t="n"/>
      <c r="E25" s="544" t="inlineStr">
        <is>
          <t>To become an internal Tester:
Open the Google Play Store app.
Tap Menu &gt; Settings
In the “About” section, tap the Play Store version 7 time
After the Internal app sharing setting appears, tap the switch to turn on internal app sharing.</t>
        </is>
      </c>
      <c r="H25" s="0" t="inlineStr">
        <is>
          <t>Not automatable</t>
        </is>
      </c>
      <c r="I25" s="671" t="inlineStr">
        <is>
          <t>N/A</t>
        </is>
      </c>
    </row>
    <row r="26">
      <c r="A26" s="386" t="inlineStr">
        <is>
          <t>In-App Update 2</t>
        </is>
      </c>
      <c r="B26" s="387" t="inlineStr">
        <is>
          <t>Download version in test</t>
        </is>
      </c>
      <c r="C26" s="389" t="inlineStr">
        <is>
          <t xml:space="preserve">1. Using the RC1 app link  download the version in test.
2. Do not open Commcare
</t>
        </is>
      </c>
      <c r="D26" s="564" t="n"/>
      <c r="E26" s="545" t="inlineStr">
        <is>
          <t>Beta Track: (No app link)
Open dalvik using playstore , join beta program
RC1 - Playstore version
RC2 - Version on Beta Track
Internal app Links: (App link shared)
RC1 - First Link shared
RC2 - Second Link shared
**Playstore has caching issues so prefer using internal app links</t>
        </is>
      </c>
      <c r="F26" s="204" t="n"/>
      <c r="H26" s="0" t="inlineStr">
        <is>
          <t>Not automatable</t>
        </is>
      </c>
      <c r="I26" s="671" t="inlineStr">
        <is>
          <t>N/A</t>
        </is>
      </c>
    </row>
    <row r="27">
      <c r="A27" s="387" t="inlineStr">
        <is>
          <t>In-App Update 3</t>
        </is>
      </c>
      <c r="B27" s="387" t="inlineStr">
        <is>
          <t>Veification</t>
        </is>
      </c>
      <c r="C27" s="389" t="inlineStr">
        <is>
          <t>1. On the Android device now follow the RC2 (or higher) app link of the version in test.
2. Ensure the update button is visible
3. Do not click it or update the app</t>
        </is>
      </c>
      <c r="D27" s="564" t="n"/>
      <c r="E27" s="539" t="inlineStr">
        <is>
          <t>Not automatable: requires following a real Google Play Store RC2 test-track link and interacting with the Play Store's own update button - no real Play Store access in this program, same confirmed hard limit as Prompted Update Scenario 4.</t>
        </is>
      </c>
      <c r="F27" s="204" t="n"/>
      <c r="H27" s="0" t="inlineStr">
        <is>
          <t>Not automatable</t>
        </is>
      </c>
      <c r="I27" s="671" t="inlineStr">
        <is>
          <t>N/A</t>
        </is>
      </c>
    </row>
    <row r="28">
      <c r="A28" s="387" t="inlineStr">
        <is>
          <t>In-App Update 4</t>
        </is>
      </c>
      <c r="B28" s="387" t="inlineStr">
        <is>
          <t>Install update</t>
        </is>
      </c>
      <c r="C28" s="387" t="inlineStr">
        <is>
          <t>1. Return to CommCare
2. Install Basic Tests (linked in the header of this page)
3. Log in
4. Confirm you see the in-app update popup
5. Use that to update the app without going to the playstore</t>
        </is>
      </c>
      <c r="D28" s="564" t="n"/>
      <c r="E28" s="539" t="inlineStr">
        <is>
          <t>Not automatable: requires completing an in-app update via the real Play Store popup flow - same Play Store access limitation as In-App Update 3.</t>
        </is>
      </c>
      <c r="F28" s="204" t="n"/>
      <c r="H28" s="0" t="inlineStr">
        <is>
          <t>Not automatable</t>
        </is>
      </c>
      <c r="I28" s="671" t="inlineStr">
        <is>
          <t>N/A</t>
        </is>
      </c>
    </row>
    <row r="29">
      <c r="A29" s="387" t="inlineStr">
        <is>
          <t>In-App Update 5</t>
        </is>
      </c>
      <c r="B29" s="387" t="inlineStr">
        <is>
          <t>Download update</t>
        </is>
      </c>
      <c r="C29" s="387" t="inlineStr">
        <is>
          <t>1. Let the download run until completion
2. Verify another popup appears asking to install the download
3. Install the download</t>
        </is>
      </c>
      <c r="D29" s="564" t="n"/>
      <c r="E29" s="387" t="inlineStr">
        <is>
          <t>If there's any problem in installion clear playstore cache in device's application settings and that should resolve the issue</t>
        </is>
      </c>
      <c r="F29" s="204" t="n"/>
      <c r="H29" s="0" t="inlineStr">
        <is>
          <t>Not automatable</t>
        </is>
      </c>
      <c r="I29" s="671" t="inlineStr">
        <is>
          <t>N/A</t>
        </is>
      </c>
    </row>
    <row r="30">
      <c r="A30" s="387" t="inlineStr">
        <is>
          <t>In-App Update 6</t>
        </is>
      </c>
      <c r="B30" s="387" t="inlineStr">
        <is>
          <t>Verify update</t>
        </is>
      </c>
      <c r="C30" s="387" t="inlineStr">
        <is>
          <t>1. Check the 'About CommCare' setting
2. Verify you're now on the updated version (check the build version must have updated)</t>
        </is>
      </c>
      <c r="D30" s="564" t="n"/>
      <c r="E30" s="539" t="inlineStr">
        <is>
          <t>Not automatable: depends on In-App Update 3/4's real Play Store update having actually completed first - not reachable without that.</t>
        </is>
      </c>
      <c r="F30" s="204" t="n"/>
      <c r="H30" s="0" t="inlineStr">
        <is>
          <t>Not automatable</t>
        </is>
      </c>
      <c r="I30" s="671" t="inlineStr">
        <is>
          <t>N/A</t>
        </is>
      </c>
    </row>
    <row r="31">
      <c r="A31" s="387" t="inlineStr">
        <is>
          <t>In-App Update 7</t>
        </is>
      </c>
      <c r="B31" s="387" t="inlineStr">
        <is>
          <t>Ignore 1</t>
        </is>
      </c>
      <c r="C31" s="387" t="inlineStr">
        <is>
          <t>1. Uninstall CommCare entirely
2. Repeat In-App Update 1 - 3
3. Return to CommCare
4. Install Basic Tests (linked in the header of this page)
5. Confirm you see the in-app update popup
6. Select 'No Thanks' and logout of the app.
7. Trigger this popup for a total of four times, selecting 'No Thanks' each time.
8. Login for the 5th time.</t>
        </is>
      </c>
      <c r="D31" s="564" t="n"/>
      <c r="E31" s="539" t="inlineStr">
        <is>
          <t>Not automatable: requires the real Play Store in-app-update popup across 5 repeated login cycles - same Play Store access limitation as In-App Update 3.</t>
        </is>
      </c>
      <c r="F31" s="204" t="n"/>
      <c r="H31" s="0" t="inlineStr">
        <is>
          <t>Not automatable</t>
        </is>
      </c>
      <c r="I31" s="671" t="inlineStr">
        <is>
          <t>N/A</t>
        </is>
      </c>
    </row>
    <row r="32">
      <c r="A32" s="387" t="inlineStr">
        <is>
          <t>In-App Update 8</t>
        </is>
      </c>
      <c r="B32" s="387" t="inlineStr">
        <is>
          <t>Ignore 2</t>
        </is>
      </c>
      <c r="C32" s="387" t="inlineStr">
        <is>
          <t>1. While logged into CommCare, go to the options button
2. Verify an update CommCare option exists
3. Select it and ensure you can successfully update CommCare</t>
        </is>
      </c>
      <c r="D32" s="564" t="n"/>
      <c r="E32" s="539" t="inlineStr">
        <is>
          <t>Not automatable: requires completing a real Play Store update via the options-menu path - same Play Store access limitation as In-App Update 3.</t>
        </is>
      </c>
      <c r="F32" s="204" t="n"/>
      <c r="H32" s="0" t="inlineStr">
        <is>
          <t>Not automatable</t>
        </is>
      </c>
      <c r="I32" s="671" t="inlineStr">
        <is>
          <t>N/A</t>
        </is>
      </c>
    </row>
    <row r="33">
      <c r="A33" s="387" t="inlineStr">
        <is>
          <t>In-App Update 9</t>
        </is>
      </c>
      <c r="B33" s="387" t="inlineStr">
        <is>
          <t>Exploratory 1</t>
        </is>
      </c>
      <c r="C33" s="544" t="inlineStr">
        <is>
          <t>Exploratory
You can play with this here, like cancelling an update while it’s in progress, tapping No Thanks in the popup. Once you click No Thanks, then the next popup will be asked when you logout and login.</t>
        </is>
      </c>
      <c r="D33" s="564" t="n"/>
      <c r="E33" s="539" t="inlineStr">
        <is>
          <t>Not automatable: explicitly exploratory/unscripted per its own steps ('You can play with this here...') - not a fixed, repeatable assertion, and depends on the same real Play Store access as In-App Update 3.</t>
        </is>
      </c>
      <c r="F33" s="204" t="n"/>
      <c r="H33" s="0" t="inlineStr">
        <is>
          <t>Not automatable</t>
        </is>
      </c>
      <c r="I33" s="671" t="inlineStr">
        <is>
          <t>N/A</t>
        </is>
      </c>
    </row>
    <row r="34">
      <c r="A34" s="387" t="inlineStr">
        <is>
          <t>In-App Update 10</t>
        </is>
      </c>
      <c r="B34" s="387" t="inlineStr">
        <is>
          <t>Exploratory 2</t>
        </is>
      </c>
      <c r="C34" s="544" t="inlineStr">
        <is>
          <t>Exploratory
1.If you press No Thanks 4 times, you’ll see an option in the options menu(when you click 3 dots icon at the top right), to update CommCare.- "Update CommCare"
2. Do not Update and submit a few forms and come to the Home Screen multiple times and verify if there are no performance issues (lag/crashes)
3.Update the app using that option and check if the app successfully updates.</t>
        </is>
      </c>
      <c r="D34" s="564" t="n"/>
      <c r="E34" s="539" t="inlineStr">
        <is>
          <t>Not automatable: explicitly exploratory (performance/lag observation over multiple sessions) and depends on the same real Play Store update flow as In-App Update 3 - neither a repeatable functional assertion nor something this stack can drive.</t>
        </is>
      </c>
      <c r="F34" s="204" t="n"/>
      <c r="H34" s="0" t="inlineStr">
        <is>
          <t>Not automatable</t>
        </is>
      </c>
      <c r="I34" s="671" t="inlineStr">
        <is>
          <t>N/A</t>
        </is>
      </c>
    </row>
  </sheetData>
  <mergeCells count="5">
    <mergeCell ref="B2:C2"/>
    <mergeCell ref="B3:C3"/>
    <mergeCell ref="B5:C5"/>
    <mergeCell ref="B1:C1"/>
    <mergeCell ref="B4:C4"/>
  </mergeCells>
  <conditionalFormatting sqref="D8:D13 D15:D17 D19:D23 D25:D34">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3 D15:D17 D19:D23 D25:D34" showDropDown="0" showInputMessage="0" showErrorMessage="1" allowBlank="1" type="list">
      <formula1>"Pass,Fail,N/A,Blocking"</formula1>
    </dataValidation>
  </dataValidations>
  <hyperlinks>
    <hyperlink xmlns:r="http://schemas.openxmlformats.org/officeDocument/2006/relationships" ref="B4" r:id="rId1"/>
    <hyperlink xmlns:r="http://schemas.openxmlformats.org/officeDocument/2006/relationships" ref="C8" r:id="rId2"/>
    <hyperlink xmlns:r="http://schemas.openxmlformats.org/officeDocument/2006/relationships" ref="E8" r:id="rId3"/>
    <hyperlink xmlns:r="http://schemas.openxmlformats.org/officeDocument/2006/relationships" ref="C15" r:id="rId4"/>
    <hyperlink xmlns:r="http://schemas.openxmlformats.org/officeDocument/2006/relationships" ref="F21" r:id="rId5"/>
  </hyperlinks>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K14"/>
  <sheetViews>
    <sheetView workbookViewId="0">
      <selection activeCell="A1" sqref="A1"/>
    </sheetView>
  </sheetViews>
  <sheetFormatPr baseColWidth="8" defaultColWidth="17.29" defaultRowHeight="15" customHeight="1"/>
  <cols>
    <col width="17.71" customWidth="1" style="629" min="1" max="1"/>
    <col width="39.57" customWidth="1" style="629" min="2" max="2"/>
    <col width="56.71" customWidth="1" style="629" min="3" max="3"/>
    <col width="21.57" customWidth="1" style="629" min="4" max="4"/>
    <col width="42.14" customWidth="1" style="629" min="5" max="5"/>
    <col width="43.57" customWidth="1" style="629" min="6" max="6"/>
    <col width="18" customWidth="1" style="629" min="9" max="9"/>
    <col width="13" customWidth="1" style="629" min="10" max="10"/>
    <col width="60" customWidth="1" style="629" min="11" max="11"/>
  </cols>
  <sheetData>
    <row r="1">
      <c r="A1" s="536" t="inlineStr">
        <is>
          <t>Tests</t>
        </is>
      </c>
      <c r="B1" s="387" t="inlineStr">
        <is>
          <t>2.49 Tests</t>
        </is>
      </c>
      <c r="C1" s="638" t="n"/>
      <c r="D1" s="166" t="n"/>
      <c r="E1" s="382" t="n"/>
      <c r="F1" s="166" t="n"/>
    </row>
    <row r="2">
      <c r="A2" s="536" t="inlineStr">
        <is>
          <t>Summary:</t>
        </is>
      </c>
      <c r="B2" s="387" t="inlineStr">
        <is>
          <t>A series of tests beginning on 2.49. QA will likely later divide these tests into their own tabs, or integrate them with existing tabs. For the sake of testing all new features first, they are currently grouped.</t>
        </is>
      </c>
      <c r="C2" s="638" t="n"/>
      <c r="D2" s="166" t="n"/>
      <c r="E2" s="382" t="n"/>
      <c r="F2" s="166" t="n"/>
    </row>
    <row r="3">
      <c r="A3" s="536" t="inlineStr">
        <is>
          <t>Domain:</t>
        </is>
      </c>
      <c r="B3" s="387" t="inlineStr">
        <is>
          <t>Multiple</t>
        </is>
      </c>
      <c r="C3" s="638" t="n"/>
      <c r="D3" s="166" t="n"/>
      <c r="E3" s="382" t="n"/>
      <c r="F3" s="166" t="n"/>
    </row>
    <row r="4">
      <c r="A4" s="536" t="inlineStr">
        <is>
          <t xml:space="preserve">Application: </t>
        </is>
      </c>
      <c r="B4" s="702" t="inlineStr">
        <is>
          <t>1. Rate Limiting
2. Basic Tests
3. Mapbox Tests</t>
        </is>
      </c>
      <c r="C4" s="638" t="n"/>
      <c r="D4" s="166" t="n"/>
      <c r="E4" s="382" t="n"/>
      <c r="F4" s="166" t="n"/>
    </row>
    <row r="5">
      <c r="A5" s="536" t="inlineStr">
        <is>
          <t>Prerequisites</t>
        </is>
      </c>
      <c r="B5" s="155" t="inlineStr">
        <is>
          <t>Some tests require superuser access</t>
        </is>
      </c>
      <c r="C5" s="638" t="n"/>
      <c r="D5" s="166" t="n"/>
      <c r="E5" s="382" t="n"/>
      <c r="F5" s="166" t="n"/>
    </row>
    <row r="6">
      <c r="A6" s="166" t="n"/>
      <c r="B6" s="166" t="n"/>
      <c r="C6" s="166" t="n"/>
      <c r="D6" s="166" t="n"/>
      <c r="E6" s="382" t="n"/>
      <c r="F6" s="166" t="n"/>
    </row>
    <row r="7">
      <c r="A7" s="536" t="inlineStr">
        <is>
          <t>Test Case ID</t>
        </is>
      </c>
      <c r="B7" s="536" t="inlineStr">
        <is>
          <t>Summary</t>
        </is>
      </c>
      <c r="C7" s="536" t="inlineStr">
        <is>
          <t>Steps</t>
        </is>
      </c>
      <c r="D7" s="537" t="inlineStr">
        <is>
          <t>Pass/Fail</t>
        </is>
      </c>
      <c r="E7" s="536" t="inlineStr">
        <is>
          <t>Notes</t>
        </is>
      </c>
      <c r="F7" s="204" t="n"/>
      <c r="I7" s="140" t="inlineStr">
        <is>
          <t>Maestro Automatability</t>
        </is>
      </c>
      <c r="J7" s="0" t="inlineStr">
        <is>
          <t>Automated?</t>
        </is>
      </c>
      <c r="K7" s="0" t="inlineStr">
        <is>
          <t>Flow File</t>
        </is>
      </c>
    </row>
    <row r="8">
      <c r="A8" s="521" t="inlineStr">
        <is>
          <t>Auto Form Sub 1</t>
        </is>
      </c>
      <c r="B8" s="387" t="inlineStr">
        <is>
          <t>Install</t>
        </is>
      </c>
      <c r="C8" s="523" t="inlineStr">
        <is>
          <t>1. Ensure you're on the CommCare version in test
2. Download and install the release version of Basic tests
3. Read through all of Auto Form Sub and the notes before continuing</t>
        </is>
      </c>
      <c r="D8" s="564" t="n"/>
      <c r="E8" s="547" t="inlineStr">
        <is>
          <t>Technically, one does not need to wait for two hours and check for these test cases. Rather, this can be done overnight - use the 'received' time in the submit history report to see when the form is received by the server</t>
        </is>
      </c>
      <c r="F8" s="204" t="n"/>
      <c r="I8" s="140" t="inlineStr">
        <is>
          <t>Not automatable</t>
        </is>
      </c>
      <c r="J8" s="0" t="inlineStr">
        <is>
          <t>N/A</t>
        </is>
      </c>
      <c r="K8" s="0" t="n"/>
    </row>
    <row r="9">
      <c r="A9" s="521" t="inlineStr">
        <is>
          <t>Auto Form Sub 2</t>
        </is>
      </c>
      <c r="B9" s="387" t="inlineStr">
        <is>
          <t>Submissions</t>
        </is>
      </c>
      <c r="C9" s="387" t="inlineStr">
        <is>
          <t>1. Put the device in airplane mode
2. Enter Basic Tests  --&gt; Basic Form Tests --&gt; Basic Form
3. Complete this form several times</t>
        </is>
      </c>
      <c r="D9" s="564" t="n"/>
      <c r="E9" s="539" t="n"/>
      <c r="F9" s="204" t="n"/>
      <c r="I9" s="140" t="inlineStr">
        <is>
          <t>Not automatable</t>
        </is>
      </c>
      <c r="J9" s="0" t="inlineStr">
        <is>
          <t>N/A</t>
        </is>
      </c>
      <c r="K9" s="0" t="n"/>
    </row>
    <row r="10">
      <c r="A10" s="521" t="inlineStr">
        <is>
          <t>Auto Form Sub 3</t>
        </is>
      </c>
      <c r="B10" s="387" t="inlineStr">
        <is>
          <t>Receipt</t>
        </is>
      </c>
      <c r="C10" s="387" t="inlineStr">
        <is>
          <t>1. Do not close CommCare completetly (ensure it is running in the background)
2. Take the device out of airplane mode
3. Go online to ensure connectivity is indeed restored
Do not re-enter CommCare for over an hour
4. Access the Submit History report and verify your forms sent ~1 hours after their completion</t>
        </is>
      </c>
      <c r="D10" s="564" t="n"/>
      <c r="E10" s="387" t="inlineStr">
        <is>
          <t>CommCare shows a sticky notification that mentions Logged into Commcare and the exact timing of login. So you can use that as well to confirm that you're always logged in and whenever you see that the notification isn't showing, just login again!</t>
        </is>
      </c>
      <c r="F10" s="204" t="n"/>
      <c r="I10" s="140" t="inlineStr">
        <is>
          <t>Not automatable</t>
        </is>
      </c>
      <c r="J10" s="0" t="inlineStr">
        <is>
          <t>N/A</t>
        </is>
      </c>
      <c r="K10" s="0" t="n"/>
    </row>
    <row r="11">
      <c r="A11" s="548" t="n"/>
      <c r="B11" s="550" t="n"/>
      <c r="C11" s="550" t="n"/>
      <c r="D11" s="551" t="n"/>
      <c r="E11" s="552" t="n"/>
      <c r="F11" s="204" t="n"/>
    </row>
    <row r="12">
      <c r="A12" s="521" t="inlineStr">
        <is>
          <t>Auto Form Sub 4</t>
        </is>
      </c>
      <c r="B12" s="387" t="n"/>
      <c r="C12" s="386" t="inlineStr">
        <is>
          <t>1. Ensure you're on the CommCare version in test
2. Download and install the release version of Basic tests
3. Ensure your device is NOT on low power (should be &gt;20%)</t>
        </is>
      </c>
      <c r="D12" s="564" t="n"/>
      <c r="E12" s="387" t="inlineStr">
        <is>
          <t>The forms should not auto-send when the device is low battery. However, they should auto send when the device is over 20% battery</t>
        </is>
      </c>
      <c r="F12" s="204" t="n"/>
      <c r="I12" s="140" t="inlineStr">
        <is>
          <t>Not automatable</t>
        </is>
      </c>
      <c r="J12" s="0" t="inlineStr">
        <is>
          <t>N/A</t>
        </is>
      </c>
      <c r="K12" s="0" t="n"/>
    </row>
    <row r="13">
      <c r="A13" s="521" t="inlineStr">
        <is>
          <t>Auto Form Sub 5</t>
        </is>
      </c>
      <c r="B13" s="387" t="n"/>
      <c r="C13" s="387" t="inlineStr">
        <is>
          <t>1. Put the device in airplane mode
2. Enter Basic Tests  --&gt; Basic Form Tests --&gt; Basic Form
3. Complete this form several times</t>
        </is>
      </c>
      <c r="D13" s="564" t="n"/>
      <c r="E13" s="349" t="n"/>
      <c r="F13" s="204" t="n"/>
      <c r="I13" s="140" t="inlineStr">
        <is>
          <t>Not automatable</t>
        </is>
      </c>
      <c r="J13" s="0" t="inlineStr">
        <is>
          <t>N/A</t>
        </is>
      </c>
      <c r="K13" s="0" t="n"/>
    </row>
    <row r="14">
      <c r="A14" s="521" t="inlineStr">
        <is>
          <t>Auto Form Sub 6</t>
        </is>
      </c>
      <c r="B14" s="387" t="n"/>
      <c r="C14" s="387" t="inlineStr">
        <is>
          <t>1. Do not close CommCare completetly (ensure it is running in the background)
2. Take the device out of airplane mode
3. Go online to ensure connectivity is indeed restored
Do not re-enter CommCare for over an hour
4. Plug your device to charge and ensure your phone charge is &gt; 15 %
5. Via the Submit History Report, ensure the forms are sent after three hours</t>
        </is>
      </c>
      <c r="D14" s="564" t="n"/>
      <c r="E14" s="387" t="n"/>
      <c r="F14" s="204" t="n"/>
      <c r="I14" s="140" t="inlineStr">
        <is>
          <t>Not automatable</t>
        </is>
      </c>
      <c r="J14" s="0" t="inlineStr">
        <is>
          <t>N/A</t>
        </is>
      </c>
      <c r="K14" s="0" t="n"/>
    </row>
  </sheetData>
  <mergeCells count="5">
    <mergeCell ref="B2:C2"/>
    <mergeCell ref="B3:C3"/>
    <mergeCell ref="B5:C5"/>
    <mergeCell ref="B1:C1"/>
    <mergeCell ref="B4:C4"/>
  </mergeCells>
  <conditionalFormatting sqref="D8:D14">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4" showDropDown="0" showInputMessage="0" showErrorMessage="1" allowBlank="1" type="list">
      <formula1>"Pass,Fail,N/A,Blocking"</formula1>
    </dataValidation>
  </dataValidations>
  <hyperlinks>
    <hyperlink xmlns:r="http://schemas.openxmlformats.org/officeDocument/2006/relationships" ref="B4" r:id="rId1"/>
    <hyperlink xmlns:r="http://schemas.openxmlformats.org/officeDocument/2006/relationships" ref="C8" r:id="rId2"/>
  </hyperlinks>
  <pageMargins left="0.75" right="0.75" top="1" bottom="1" header="0.5" footer="0.5"/>
</worksheet>
</file>

<file path=xl/worksheets/sheet33.xml><?xml version="1.0" encoding="utf-8"?>
<worksheet xmlns="http://schemas.openxmlformats.org/spreadsheetml/2006/main">
  <sheetPr>
    <outlinePr summaryBelow="0" summaryRight="0"/>
    <pageSetUpPr/>
  </sheetPr>
  <dimension ref="A1:K12"/>
  <sheetViews>
    <sheetView workbookViewId="0">
      <selection activeCell="A1" sqref="A1"/>
    </sheetView>
  </sheetViews>
  <sheetFormatPr baseColWidth="8" defaultColWidth="17.29" defaultRowHeight="15" customHeight="1"/>
  <cols>
    <col width="17.71" customWidth="1" style="629" min="1" max="1"/>
    <col width="39.57" customWidth="1" style="629" min="2" max="2"/>
    <col width="56.71" customWidth="1" style="629" min="3" max="3"/>
    <col width="21.57" customWidth="1" style="629" min="4" max="4"/>
    <col width="42.14" customWidth="1" style="629" min="5" max="5"/>
    <col width="43.57" customWidth="1" style="629" min="6" max="6"/>
    <col width="18" customWidth="1" style="629" min="9" max="9"/>
    <col width="13" customWidth="1" style="629" min="10" max="10"/>
    <col width="60" customWidth="1" style="629" min="11" max="11"/>
  </cols>
  <sheetData>
    <row r="1">
      <c r="A1" s="536" t="inlineStr">
        <is>
          <t>Tests</t>
        </is>
      </c>
      <c r="B1" s="387" t="inlineStr">
        <is>
          <t>2.49 Tests</t>
        </is>
      </c>
      <c r="C1" s="638" t="n"/>
      <c r="D1" s="166" t="n"/>
      <c r="E1" s="382" t="n"/>
      <c r="F1" s="166" t="n"/>
    </row>
    <row r="2">
      <c r="A2" s="536" t="inlineStr">
        <is>
          <t>Summary:</t>
        </is>
      </c>
      <c r="B2" s="387" t="inlineStr">
        <is>
          <t>A series of tests beginning on 2.49. QA will likely later divide these tests into their own tabs, or integrate them with existing tabs. For the sake of testing all new features first, they are currently grouped.</t>
        </is>
      </c>
      <c r="C2" s="638" t="n"/>
      <c r="D2" s="166" t="n"/>
      <c r="E2" s="382" t="n"/>
      <c r="F2" s="166" t="n"/>
    </row>
    <row r="3">
      <c r="A3" s="536" t="inlineStr">
        <is>
          <t>Domain:</t>
        </is>
      </c>
      <c r="B3" s="387" t="inlineStr">
        <is>
          <t>Multiple</t>
        </is>
      </c>
      <c r="C3" s="638" t="n"/>
      <c r="D3" s="166" t="n"/>
      <c r="E3" s="382" t="n"/>
      <c r="F3" s="166" t="n"/>
    </row>
    <row r="4">
      <c r="A4" s="536" t="inlineStr">
        <is>
          <t xml:space="preserve">Application: </t>
        </is>
      </c>
      <c r="B4" s="702" t="inlineStr">
        <is>
          <t>1. Rate Limiting
2. Basic Tests
3. Mapbox Tests</t>
        </is>
      </c>
      <c r="C4" s="638" t="n"/>
      <c r="D4" s="166" t="n"/>
      <c r="E4" s="382" t="n"/>
      <c r="F4" s="166" t="n"/>
    </row>
    <row r="5">
      <c r="A5" s="536" t="inlineStr">
        <is>
          <t>Prerequisites</t>
        </is>
      </c>
      <c r="B5" s="155" t="inlineStr">
        <is>
          <t>Some tests require superuser access</t>
        </is>
      </c>
      <c r="C5" s="638" t="n"/>
      <c r="D5" s="166" t="n"/>
      <c r="E5" s="382" t="n"/>
      <c r="F5" s="166" t="n"/>
    </row>
    <row r="6">
      <c r="A6" s="166" t="n"/>
      <c r="B6" s="166" t="n"/>
      <c r="C6" s="166" t="n"/>
      <c r="D6" s="166" t="n"/>
      <c r="E6" s="382" t="n"/>
      <c r="F6" s="166" t="n"/>
    </row>
    <row r="7">
      <c r="A7" s="536" t="inlineStr">
        <is>
          <t>Test Case ID</t>
        </is>
      </c>
      <c r="B7" s="536" t="inlineStr">
        <is>
          <t>Summary</t>
        </is>
      </c>
      <c r="C7" s="536" t="inlineStr">
        <is>
          <t>Steps</t>
        </is>
      </c>
      <c r="D7" s="537" t="n"/>
      <c r="E7" s="536" t="n"/>
      <c r="F7" s="204" t="n"/>
      <c r="I7" s="140" t="inlineStr">
        <is>
          <t>Maestro Automatability</t>
        </is>
      </c>
      <c r="J7" s="0" t="inlineStr">
        <is>
          <t>Automated?</t>
        </is>
      </c>
      <c r="K7" s="0" t="inlineStr">
        <is>
          <t>Flow File</t>
        </is>
      </c>
    </row>
    <row r="8">
      <c r="A8" s="387" t="inlineStr">
        <is>
          <t>Mapbox 1</t>
        </is>
      </c>
      <c r="B8" s="387" t="inlineStr">
        <is>
          <t>GPS Capture Question</t>
        </is>
      </c>
      <c r="C8" s="387" t="inlineStr">
        <is>
          <t>1.Navigate through the form until you reach "GPS Normal"
2.Record Location
3.Ensure Google map is used for GPS capture questions
4.Verify the location is recorded successfully.
5.Submit the form
6.Go to submit history and verify the location is recorded successfully.</t>
        </is>
      </c>
      <c r="D8" s="564" t="n"/>
      <c r="E8" s="539" t="n"/>
      <c r="F8" s="204" t="n"/>
      <c r="I8" s="140" t="inlineStr">
        <is>
          <t>Automatable</t>
        </is>
      </c>
      <c r="J8" s="0" t="inlineStr">
        <is>
          <t>Yes</t>
        </is>
      </c>
      <c r="K8" s="0" t="inlineStr">
        <is>
          <t>flows_non_core/mapbox/mapbox_01_05_gps_capture_and_case_list.yaml</t>
        </is>
      </c>
    </row>
    <row r="9">
      <c r="A9" s="387" t="inlineStr">
        <is>
          <t>Mapbox 2</t>
        </is>
      </c>
      <c r="B9" s="387" t="inlineStr">
        <is>
          <t>MapBox style map for GPS Question</t>
        </is>
      </c>
      <c r="C9" s="387" t="inlineStr">
        <is>
          <t>1.Navigate through the form until you reach "GPS Mapbox" 
2. Record Location -&gt; Ensure MapBox style map is used
3. Confirm Location
4. Ensure the coordinates of the location captured is displayed and Show Location option is enabled
5. Click on Show location.
6. Verify that the MapBox style map reopens and the location marked in step 3 is displayed
7. Click on Replace Location and verify that the MapBox style map reopens
8. Select a new location and Submit the form
9. Go to submit history and verify the location is recorded successfully.</t>
        </is>
      </c>
      <c r="D9" s="564" t="n"/>
      <c r="E9" s="539" t="n"/>
      <c r="F9" s="204" t="n"/>
      <c r="I9" s="140" t="inlineStr">
        <is>
          <t>N/A</t>
        </is>
      </c>
      <c r="J9" s="0" t="inlineStr">
        <is>
          <t>N/A</t>
        </is>
      </c>
      <c r="K9" s="0" t="inlineStr">
        <is>
          <t>(Mapbox removed from CommCare in 2.59.0 - confirmed N/A 2026-10-23)</t>
        </is>
      </c>
    </row>
    <row r="10">
      <c r="A10" s="387" t="inlineStr">
        <is>
          <t>Mapbox 3</t>
        </is>
      </c>
      <c r="B10" s="387" t="inlineStr">
        <is>
          <t>GPS Disabled on Mobile</t>
        </is>
      </c>
      <c r="C10" s="387" t="inlineStr">
        <is>
          <t>1. Disable GPS on your test device.
2. Try to run test cases Mapbox 10 and Mapbox 11
3. Verify that you see a pop to enable GPS on mobile.
4. Enable the GPS and check if both the test cases pass successfully</t>
        </is>
      </c>
      <c r="D10" s="564" t="n"/>
      <c r="E10" s="539" t="n"/>
      <c r="F10" s="204" t="n"/>
      <c r="I10" s="140" t="inlineStr">
        <is>
          <t>Not automatable</t>
        </is>
      </c>
      <c r="J10" s="0" t="inlineStr">
        <is>
          <t>N/A</t>
        </is>
      </c>
      <c r="K10" s="0" t="n"/>
    </row>
    <row r="11">
      <c r="A11" s="387" t="inlineStr">
        <is>
          <t>Mapbox 4</t>
        </is>
      </c>
      <c r="B11" s="387" t="inlineStr">
        <is>
          <t>GPS Permission Denied for the App</t>
        </is>
      </c>
      <c r="C11" s="387" t="inlineStr">
        <is>
          <t>1. Keeping GPS enabled, disable permission of the commcare app to access location
2. Try to run test cases Mapbox 10 and Mapbox 11
3. Verify that you see a pop to allow access to GPS.
4. Enable the GPS and check if both the test cases pass successfully</t>
        </is>
      </c>
      <c r="D11" s="564" t="n"/>
      <c r="E11" s="539" t="n"/>
      <c r="F11" s="204" t="n"/>
      <c r="I11" s="140" t="inlineStr">
        <is>
          <t>Automatable</t>
        </is>
      </c>
      <c r="J11" s="0" t="inlineStr">
        <is>
          <t>Yes</t>
        </is>
      </c>
      <c r="K11" s="0" t="inlineStr">
        <is>
          <t>flows_non_core/mapbox/mapbox_04_location_permission_denied.yaml</t>
        </is>
      </c>
    </row>
    <row r="12">
      <c r="A12" s="387" t="inlineStr">
        <is>
          <t>Mapbox 5</t>
        </is>
      </c>
      <c r="B12" s="387" t="inlineStr">
        <is>
          <t>Case List</t>
        </is>
      </c>
      <c r="C12" s="387" t="inlineStr">
        <is>
          <t>1. Go to the Follow Up form and  verify if the details captured for all the above test cases are displayed in the case list</t>
        </is>
      </c>
      <c r="D12" s="564" t="n"/>
      <c r="E12" s="539" t="n"/>
      <c r="F12" s="204" t="n"/>
      <c r="I12" s="140" t="inlineStr">
        <is>
          <t>Automatable</t>
        </is>
      </c>
      <c r="J12" s="0" t="inlineStr">
        <is>
          <t>Yes</t>
        </is>
      </c>
      <c r="K12" s="0" t="inlineStr">
        <is>
          <t>flows_non_core/mapbox/mapbox_01_05_gps_capture_and_case_list.yaml</t>
        </is>
      </c>
    </row>
  </sheetData>
  <mergeCells count="5">
    <mergeCell ref="B2:C2"/>
    <mergeCell ref="B3:C3"/>
    <mergeCell ref="B5:C5"/>
    <mergeCell ref="B1:C1"/>
    <mergeCell ref="B4:C4"/>
  </mergeCells>
  <conditionalFormatting sqref="D8:D12">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2" showDropDown="0" showInputMessage="0" showErrorMessage="1" allowBlank="1" type="list">
      <formula1>"Pass,Fail,N/A,Blocking"</formula1>
    </dataValidation>
  </dataValidations>
  <hyperlinks>
    <hyperlink xmlns:r="http://schemas.openxmlformats.org/officeDocument/2006/relationships" ref="B4" r:id="rId1"/>
  </hyperlinks>
  <pageMargins left="0.75" right="0.75" top="1" bottom="1" header="0.5" footer="0.5"/>
</worksheet>
</file>

<file path=xl/worksheets/sheet34.xml><?xml version="1.0" encoding="utf-8"?>
<worksheet xmlns="http://schemas.openxmlformats.org/spreadsheetml/2006/main">
  <sheetPr>
    <outlinePr summaryBelow="0" summaryRight="0"/>
    <pageSetUpPr/>
  </sheetPr>
  <dimension ref="A1:K13"/>
  <sheetViews>
    <sheetView workbookViewId="0">
      <selection activeCell="A1" sqref="A1"/>
    </sheetView>
  </sheetViews>
  <sheetFormatPr baseColWidth="8" defaultColWidth="17.29" defaultRowHeight="15" customHeight="1"/>
  <cols>
    <col width="27.86" customWidth="1" style="629" min="1" max="1"/>
    <col width="28" customWidth="1" style="629" min="2" max="2"/>
    <col width="66.29000000000001" customWidth="1" style="629" min="3" max="3"/>
    <col width="24.57" customWidth="1" style="629" min="6" max="6"/>
    <col width="18" customWidth="1" style="629" min="9" max="9"/>
    <col width="13" customWidth="1" style="629" min="10" max="10"/>
    <col width="60" customWidth="1" style="629" min="11" max="11"/>
  </cols>
  <sheetData>
    <row r="1">
      <c r="A1" s="200" t="inlineStr">
        <is>
          <t>Test Area:</t>
        </is>
      </c>
      <c r="B1" s="497" t="inlineStr">
        <is>
          <t>Commcare Settings</t>
        </is>
      </c>
      <c r="C1" s="638" t="n"/>
      <c r="D1" s="309" t="n"/>
      <c r="E1" s="309" t="n"/>
      <c r="F1" s="309" t="n"/>
      <c r="G1" s="309" t="n"/>
    </row>
    <row r="2" ht="16.5" customHeight="1" s="629">
      <c r="A2" s="200" t="inlineStr">
        <is>
          <t>Summary:</t>
        </is>
      </c>
      <c r="B2" s="497" t="inlineStr">
        <is>
          <t>Tests around the different options available in app settings</t>
        </is>
      </c>
      <c r="C2" s="638" t="n"/>
      <c r="D2" s="309" t="n"/>
      <c r="E2" s="309" t="n"/>
      <c r="F2" s="309" t="n"/>
      <c r="G2" s="309" t="n"/>
    </row>
    <row r="3">
      <c r="A3" s="200" t="inlineStr">
        <is>
          <t>Domain:</t>
        </is>
      </c>
      <c r="B3" s="688">
        <f>HYPERLINK("https://www.commcarehq.org/a/qateam/apps/view/cdfa6c85eb594b23b0c08729cd2beff1/","https://www.commcarehq.org/a/qateam/apps/view/cdfa6c85eb594b23b0c08729cd2beff1/")</f>
        <v/>
      </c>
      <c r="C3" s="638" t="n"/>
      <c r="D3" s="309" t="n"/>
      <c r="E3" s="309" t="n"/>
      <c r="F3" s="309" t="n"/>
      <c r="G3" s="309" t="n"/>
    </row>
    <row r="4">
      <c r="A4" s="200" t="inlineStr">
        <is>
          <t xml:space="preserve">Application: </t>
        </is>
      </c>
      <c r="B4" s="497" t="inlineStr">
        <is>
          <t>Basic Tests</t>
        </is>
      </c>
      <c r="C4" s="638" t="n"/>
      <c r="D4" s="309" t="n"/>
      <c r="E4" s="309" t="n"/>
      <c r="F4" s="309" t="n"/>
      <c r="G4" s="309" t="n"/>
    </row>
    <row r="5">
      <c r="A5" s="555" t="n"/>
      <c r="B5" s="555" t="n"/>
      <c r="C5" s="555" t="n"/>
      <c r="D5" s="554" t="n"/>
      <c r="E5" s="555" t="n"/>
      <c r="F5" s="555" t="n"/>
      <c r="G5" s="555" t="n"/>
    </row>
    <row r="6">
      <c r="A6" s="535" t="inlineStr">
        <is>
          <t>Test Case ID</t>
        </is>
      </c>
      <c r="B6" s="536" t="inlineStr">
        <is>
          <t>Summary</t>
        </is>
      </c>
      <c r="C6" s="536" t="inlineStr">
        <is>
          <t>Steps</t>
        </is>
      </c>
      <c r="D6" s="537" t="inlineStr">
        <is>
          <t>Pass/Fail</t>
        </is>
      </c>
      <c r="E6" s="536" t="inlineStr">
        <is>
          <t>Ticket ID</t>
        </is>
      </c>
      <c r="F6" s="536" t="inlineStr">
        <is>
          <t>Notes</t>
        </is>
      </c>
      <c r="G6" s="535" t="n"/>
      <c r="I6" s="140" t="inlineStr">
        <is>
          <t>Maestro Automatability</t>
        </is>
      </c>
      <c r="J6" s="0" t="inlineStr">
        <is>
          <t>Automated?</t>
        </is>
      </c>
      <c r="K6" s="0" t="inlineStr">
        <is>
          <t>Flow File</t>
        </is>
      </c>
    </row>
    <row r="7">
      <c r="A7" s="556" t="inlineStr">
        <is>
          <t>Text to Speech</t>
        </is>
      </c>
      <c r="B7" s="557" t="n"/>
      <c r="C7" s="557" t="n"/>
      <c r="D7" s="558" t="n"/>
      <c r="E7" s="560" t="n"/>
      <c r="F7" s="560" t="n"/>
      <c r="G7" s="560" t="n"/>
    </row>
    <row r="8">
      <c r="A8" s="386" t="inlineStr">
        <is>
          <t>Text to Speech 1</t>
        </is>
      </c>
      <c r="B8" s="387" t="inlineStr">
        <is>
          <t>Enable Text to Speech</t>
        </is>
      </c>
      <c r="C8" s="387" t="inlineStr">
        <is>
          <t>1. On mobile access CommCare
2. Log in using username/password: Test1/123
3. Open settings
4. Enable Text To Speech setting
5. Go to Change Language and ensure the app is in English</t>
        </is>
      </c>
      <c r="D8" s="387" t="n"/>
      <c r="E8" s="564" t="n"/>
      <c r="F8" s="564" t="n"/>
      <c r="G8" s="382" t="n"/>
      <c r="I8" s="140" t="inlineStr">
        <is>
          <t>Automatable</t>
        </is>
      </c>
      <c r="J8" s="0" t="inlineStr">
        <is>
          <t>Yes</t>
        </is>
      </c>
      <c r="K8" s="0" t="inlineStr">
        <is>
          <t>flows_non_core/text_to_speech/tts_01_02_enable_and_audio_button.yaml</t>
        </is>
      </c>
    </row>
    <row r="9">
      <c r="A9" s="387" t="inlineStr">
        <is>
          <t>Text to Speech 2</t>
        </is>
      </c>
      <c r="B9" s="387" t="inlineStr">
        <is>
          <t>Text to speech, baseline</t>
        </is>
      </c>
      <c r="C9" s="387" t="inlineStr">
        <is>
          <t>1. Press Start
2. Navigate to Basic Form Tests, and select form Text to Speech
3. Ensure there is an audio button next to the question
4. Press it - ensure the text is read to you
5. Remain in the form and continue to the next test case</t>
        </is>
      </c>
      <c r="D9" s="387" t="n"/>
      <c r="E9" s="564" t="n"/>
      <c r="F9" s="564" t="n"/>
      <c r="G9" s="382" t="n"/>
      <c r="I9" s="140" t="inlineStr">
        <is>
          <t>Partial</t>
        </is>
      </c>
      <c r="J9" s="0" t="inlineStr">
        <is>
          <t>Yes</t>
        </is>
      </c>
      <c r="K9" s="0" t="inlineStr">
        <is>
          <t>flows_non_core/text_to_speech/tts_01_02_enable_and_audio_button.yaml</t>
        </is>
      </c>
    </row>
    <row r="10">
      <c r="A10" s="387" t="inlineStr">
        <is>
          <t>Text to Speech 3</t>
        </is>
      </c>
      <c r="B10" s="387" t="inlineStr">
        <is>
          <t>Form language change</t>
        </is>
      </c>
      <c r="C10" s="387" t="inlineStr">
        <is>
          <t>1. Select settings and Change Language
2. Select Hindi
3. Ensure the form's language changes and the audio button remains
4. Press it, ensure the label is read out in Hindi
(If you don't know Hindi, a non-English language voice is sufficent for a pass) 
5. Submit</t>
        </is>
      </c>
      <c r="D10" s="387" t="n"/>
      <c r="E10" s="564" t="n"/>
      <c r="F10" s="564" t="n"/>
      <c r="G10" s="382" t="n"/>
      <c r="I10" s="140" t="inlineStr">
        <is>
          <t>Partial</t>
        </is>
      </c>
      <c r="J10" s="0" t="inlineStr">
        <is>
          <t>Yes</t>
        </is>
      </c>
      <c r="K10" s="0" t="inlineStr">
        <is>
          <t>flows_non_core/text_to_speech/tts_03_form_language_change.yaml</t>
        </is>
      </c>
    </row>
    <row r="11">
      <c r="A11" s="387" t="inlineStr">
        <is>
          <t>Text to Speech 4</t>
        </is>
      </c>
      <c r="B11" s="387" t="inlineStr">
        <is>
          <t>App language change</t>
        </is>
      </c>
      <c r="C11" s="387" t="inlineStr">
        <is>
          <t>1. Return to the home screen
2. Change the app's language to Hindi
3. Return to the Text to Speech form
4. Ensure it is in Hindi and an audio button is next to the text
5. Press it, ensure it reads the label in Hindi and submit the form</t>
        </is>
      </c>
      <c r="D11" s="387" t="n"/>
      <c r="E11" s="564" t="n"/>
      <c r="F11" s="564" t="n"/>
      <c r="G11" s="382" t="n"/>
      <c r="I11" s="140" t="inlineStr">
        <is>
          <t>Partial</t>
        </is>
      </c>
      <c r="J11" s="0" t="inlineStr">
        <is>
          <t>Yes</t>
        </is>
      </c>
      <c r="K11" s="0" t="inlineStr">
        <is>
          <t>flows_non_core/text_to_speech/tts_04_app_language_change.yaml</t>
        </is>
      </c>
    </row>
    <row r="12">
      <c r="A12" s="387" t="inlineStr">
        <is>
          <t>Text to Speech 5</t>
        </is>
      </c>
      <c r="B12" s="387" t="inlineStr">
        <is>
          <t>Language delete</t>
        </is>
      </c>
      <c r="C12" s="184" t="inlineStr">
        <is>
          <t>1. On your device, download a language that isn’t present (Download from device by default Google Text-To-Speech )
2. Create an app in your own space that has that language as an option 
3. In the app for the language to test ensure you have added in text to speech menu (e.g if you want to test Hindi language add 'hindi' to language section in app settings &amp; add the que with hindi text in text to speech)
4. Download the app to mobile and ensure that Text to Speech is functional with the language you downloaded
5. Delete the downloaded language
6. Put the device in airplane mode
7. Return to the app and ensure CommCare prompts you to download that language when interacting with Text to Speech again
8. Enable the internet and ensure you can download and play that language
Note: At present this works only when your device has 'Google Text to Speech' engine’ by default and not any other TTS engine</t>
        </is>
      </c>
      <c r="D12" s="387" t="n"/>
      <c r="E12" s="564" t="n"/>
      <c r="F12" s="532" t="inlineStr">
        <is>
          <t>Note: This functionality works as expected only when the device has default  'Google Text to Speech' engine’ installed.( does not work for other TTS engine) 
Below ticket to update the confluence content :
https://dimagi.atlassian.net/browse/SAAS-15846</t>
        </is>
      </c>
      <c r="G12" s="382" t="n"/>
      <c r="I12" s="140" t="inlineStr">
        <is>
          <t>Not automatable</t>
        </is>
      </c>
      <c r="J12" s="0" t="inlineStr">
        <is>
          <t>N/A</t>
        </is>
      </c>
      <c r="K12" s="0" t="n"/>
    </row>
    <row r="13">
      <c r="A13" s="575" t="inlineStr">
        <is>
          <t>Text to Speech 6</t>
        </is>
      </c>
      <c r="B13" s="572" t="inlineStr">
        <is>
          <t>Multiple unsupported languages</t>
        </is>
      </c>
      <c r="C13" s="575" t="inlineStr">
        <is>
          <t>1. Add several languages on your test app that your phone does not support and ensure that one language on your app is the same as your device language: Let’s call them unsupported one and two
2. Deploy to mobile and enable Text to Speech
3. Access the app on mobile and set the app to unsupported lang one
4. Access a specific form, set it to unsupported lang two
5. Ensure that your device language is used to read out Text to Speech</t>
        </is>
      </c>
      <c r="D13" s="575" t="n"/>
      <c r="E13" s="578" t="n"/>
      <c r="F13" s="578" t="n"/>
      <c r="G13" s="382" t="n"/>
      <c r="I13" s="140" t="inlineStr">
        <is>
          <t>Not automatable</t>
        </is>
      </c>
      <c r="J13" s="0" t="inlineStr">
        <is>
          <t>N/A</t>
        </is>
      </c>
      <c r="K13" s="0" t="n"/>
    </row>
  </sheetData>
  <mergeCells count="4">
    <mergeCell ref="B1:C1"/>
    <mergeCell ref="B3:C3"/>
    <mergeCell ref="B4:C4"/>
    <mergeCell ref="B2:C2"/>
  </mergeCells>
  <conditionalFormatting sqref="D8:D13">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3" showDropDown="0" showInputMessage="0" showErrorMessage="1" allowBlank="1" type="list">
      <formula1>"Pass,Fail,N/A,Blocking"</formula1>
    </dataValidation>
  </dataValidations>
  <hyperlinks>
    <hyperlink xmlns:r="http://schemas.openxmlformats.org/officeDocument/2006/relationships" ref="C12" r:id="rId1"/>
  </hyperlinks>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K14"/>
  <sheetViews>
    <sheetView workbookViewId="0">
      <selection activeCell="A1" sqref="A1"/>
    </sheetView>
  </sheetViews>
  <sheetFormatPr baseColWidth="8" defaultColWidth="17.29" defaultRowHeight="15" customHeight="1"/>
  <cols>
    <col width="27.86" customWidth="1" style="629" min="1" max="1"/>
    <col width="28" customWidth="1" style="629" min="2" max="2"/>
    <col width="66.29000000000001" customWidth="1" style="629" min="3" max="3"/>
    <col width="24.57" customWidth="1" style="629" min="6" max="6"/>
    <col width="18" customWidth="1" style="629" min="9" max="9"/>
    <col width="13" customWidth="1" style="629" min="10" max="10"/>
    <col width="60" customWidth="1" style="629" min="11" max="11"/>
  </cols>
  <sheetData>
    <row r="1">
      <c r="A1" s="200" t="inlineStr">
        <is>
          <t>Test Area:</t>
        </is>
      </c>
      <c r="B1" s="497" t="inlineStr">
        <is>
          <t>Commcare Settings</t>
        </is>
      </c>
      <c r="C1" s="638" t="n"/>
      <c r="D1" s="309" t="n"/>
      <c r="E1" s="309" t="n"/>
      <c r="F1" s="309" t="n"/>
      <c r="G1" s="309" t="n"/>
    </row>
    <row r="2" ht="16.5" customHeight="1" s="629">
      <c r="A2" s="200" t="inlineStr">
        <is>
          <t>Summary:</t>
        </is>
      </c>
      <c r="B2" s="497" t="inlineStr">
        <is>
          <t>Tests around the different options available in app settings</t>
        </is>
      </c>
      <c r="C2" s="638" t="n"/>
      <c r="D2" s="309" t="n"/>
      <c r="E2" s="309" t="n"/>
      <c r="F2" s="309" t="n"/>
      <c r="G2" s="309" t="n"/>
    </row>
    <row r="3">
      <c r="A3" s="200" t="inlineStr">
        <is>
          <t>Domain:</t>
        </is>
      </c>
      <c r="B3" s="688">
        <f>HYPERLINK("https://www.commcarehq.org/a/qateam/apps/view/cdfa6c85eb594b23b0c08729cd2beff1/","https://www.commcarehq.org/a/qateam/apps/view/cdfa6c85eb594b23b0c08729cd2beff1/")</f>
        <v/>
      </c>
      <c r="C3" s="638" t="n"/>
      <c r="D3" s="309" t="n"/>
      <c r="E3" s="309" t="n"/>
      <c r="F3" s="309" t="n"/>
      <c r="G3" s="309" t="n"/>
    </row>
    <row r="4">
      <c r="A4" s="200" t="inlineStr">
        <is>
          <t xml:space="preserve">Application: </t>
        </is>
      </c>
      <c r="B4" s="497" t="inlineStr">
        <is>
          <t>Basic Tests</t>
        </is>
      </c>
      <c r="C4" s="638" t="n"/>
      <c r="D4" s="309" t="n"/>
      <c r="E4" s="309" t="n"/>
      <c r="F4" s="309" t="n"/>
      <c r="G4" s="309" t="n"/>
    </row>
    <row r="5">
      <c r="A5" s="555" t="n"/>
      <c r="B5" s="555" t="n"/>
      <c r="C5" s="555" t="n"/>
      <c r="D5" s="554" t="n"/>
      <c r="E5" s="555" t="n"/>
      <c r="F5" s="555" t="n"/>
      <c r="G5" s="555" t="n"/>
    </row>
    <row r="6">
      <c r="A6" s="535" t="inlineStr">
        <is>
          <t>Test Case ID</t>
        </is>
      </c>
      <c r="B6" s="536" t="inlineStr">
        <is>
          <t>Summary</t>
        </is>
      </c>
      <c r="C6" s="536" t="inlineStr">
        <is>
          <t>Steps</t>
        </is>
      </c>
      <c r="D6" s="537" t="inlineStr">
        <is>
          <t>Pass/Fail</t>
        </is>
      </c>
      <c r="E6" s="536" t="inlineStr">
        <is>
          <t>Ticket ID</t>
        </is>
      </c>
      <c r="F6" s="536" t="inlineStr">
        <is>
          <t>Notes</t>
        </is>
      </c>
      <c r="G6" s="535" t="n"/>
      <c r="I6" s="140" t="inlineStr">
        <is>
          <t>Maestro Automatability</t>
        </is>
      </c>
      <c r="J6" s="0" t="inlineStr">
        <is>
          <t>Automated?</t>
        </is>
      </c>
      <c r="K6" s="0" t="inlineStr">
        <is>
          <t>Flow File</t>
        </is>
      </c>
    </row>
    <row r="7">
      <c r="A7" s="561" t="inlineStr">
        <is>
          <t>Use intent callout for scanner</t>
        </is>
      </c>
      <c r="B7" s="560" t="n"/>
      <c r="C7" s="560" t="n"/>
      <c r="D7" s="562" t="n"/>
      <c r="E7" s="560" t="n"/>
      <c r="F7" s="560" t="n"/>
      <c r="G7" s="560" t="n"/>
    </row>
    <row r="8">
      <c r="A8" s="386" t="inlineStr">
        <is>
          <t>Third party Scanner 1</t>
        </is>
      </c>
      <c r="B8" s="387" t="inlineStr">
        <is>
          <t>Install third party barcode scanner</t>
        </is>
      </c>
      <c r="C8" s="387" t="inlineStr">
        <is>
          <t>1. Open playstore
2. Download QR Driod barcode scanner app
3. Download QR Driod Private barcode scanner app</t>
        </is>
      </c>
      <c r="D8" s="387" t="n"/>
      <c r="E8" s="564" t="n"/>
      <c r="F8" s="564" t="n"/>
      <c r="G8" s="382" t="n"/>
      <c r="I8" s="140" t="inlineStr">
        <is>
          <t>Not automatable</t>
        </is>
      </c>
      <c r="J8" s="0" t="inlineStr">
        <is>
          <t>N/A</t>
        </is>
      </c>
      <c r="K8" s="0" t="n"/>
    </row>
    <row r="9">
      <c r="A9" s="387" t="inlineStr">
        <is>
          <t>Third party Scanner 2</t>
        </is>
      </c>
      <c r="B9" s="387" t="inlineStr">
        <is>
          <t>Enable Intent callout for scanner</t>
        </is>
      </c>
      <c r="C9" s="387" t="inlineStr">
        <is>
          <t>1. On the Commcare version in test, go to Settings -&gt; Use intent callout for scanner and Enable it.
3. Advanced &gt; Clear User Data</t>
        </is>
      </c>
      <c r="D9" s="387" t="n"/>
      <c r="E9" s="564" t="n"/>
      <c r="F9" s="564" t="n"/>
      <c r="G9" s="382" t="n"/>
      <c r="I9" s="140" t="inlineStr">
        <is>
          <t>Automatable</t>
        </is>
      </c>
      <c r="J9" s="0" t="inlineStr">
        <is>
          <t>Yes</t>
        </is>
      </c>
      <c r="K9" s="0" t="inlineStr">
        <is>
          <t>flows_non_core/third_party_scanner/scanner_02_06_intent_callout_setting.yaml</t>
        </is>
      </c>
    </row>
    <row r="10">
      <c r="A10" s="387" t="inlineStr">
        <is>
          <t>Third party Scanner 3</t>
        </is>
      </c>
      <c r="B10" s="387" t="inlineStr">
        <is>
          <t>Multiple third party barcode scanner apps</t>
        </is>
      </c>
      <c r="C10" s="387" t="inlineStr">
        <is>
          <t>1. Open the Basic Tests App
2. Access Baic Form Tests -&gt; Question Types
3. Navigate through the form until you reach question "If using an Android device, this question should allow you to scan a barcode."
4. Get Barcode 
5. Verify that the app lets you choose between both the apps.
6. Select any one of then and ensure that see the UI of the third party app selected</t>
        </is>
      </c>
      <c r="D10" s="387" t="n"/>
      <c r="E10" s="564" t="n"/>
      <c r="F10" s="564" t="n"/>
      <c r="G10" s="382" t="n"/>
      <c r="I10" s="140" t="inlineStr">
        <is>
          <t>Not automatable</t>
        </is>
      </c>
      <c r="J10" s="0" t="inlineStr">
        <is>
          <t>N/A</t>
        </is>
      </c>
      <c r="K10" s="0" t="n"/>
    </row>
    <row r="11">
      <c r="A11" s="387" t="inlineStr">
        <is>
          <t>Third party Scanner 4</t>
        </is>
      </c>
      <c r="B11" s="387" t="inlineStr">
        <is>
          <t>Scan Barcode</t>
        </is>
      </c>
      <c r="C11" s="184" t="inlineStr">
        <is>
          <t>7. Verify that you're able to scan the barcode using the third party scanner.
8. You can find the demo QR codes here</t>
        </is>
      </c>
      <c r="D11" s="387" t="n"/>
      <c r="E11" s="564" t="n"/>
      <c r="F11" s="564" t="n"/>
      <c r="G11" s="382" t="n"/>
      <c r="I11" s="140" t="inlineStr">
        <is>
          <t>Not automatable</t>
        </is>
      </c>
      <c r="J11" s="0" t="inlineStr">
        <is>
          <t>N/A</t>
        </is>
      </c>
      <c r="K11" s="0" t="n"/>
    </row>
    <row r="12">
      <c r="A12" s="387" t="inlineStr">
        <is>
          <t>Third party Scanner 5</t>
        </is>
      </c>
      <c r="B12" s="387" t="inlineStr">
        <is>
          <t>Check the Barcode Scanned</t>
        </is>
      </c>
      <c r="C12" s="394" t="inlineStr">
        <is>
          <t>1. Navigate to the next question,
"If using an Android device, this question should display a QR Code (similar to a barcode. If you scanned one in the previous question, it should contain its contents.)"
2. Ensure that a barcode is displayed 
3. Verify that it stores the same value that was uploaded in the previous question.
4. You can use this online barcode reader to verify the barcode content.</t>
        </is>
      </c>
      <c r="D12" s="387" t="n"/>
      <c r="E12" s="564" t="n"/>
      <c r="F12" s="564" t="n"/>
      <c r="G12" s="382" t="n"/>
      <c r="I12" s="140" t="inlineStr">
        <is>
          <t>Not automatable</t>
        </is>
      </c>
      <c r="J12" s="0" t="inlineStr">
        <is>
          <t>N/A</t>
        </is>
      </c>
      <c r="K12" s="0" t="n"/>
    </row>
    <row r="13">
      <c r="A13" s="387" t="inlineStr">
        <is>
          <t>Third party Scanner 6</t>
        </is>
      </c>
      <c r="B13" s="387" t="inlineStr">
        <is>
          <t>Disable Intent callout for scanner</t>
        </is>
      </c>
      <c r="C13" s="387" t="inlineStr">
        <is>
          <t>1. Again go to Settings -&gt; Use intent callout for scanner and Disable it.
2. Navigate through the form until you reach question "If using an Android device, this question should allow you to scan a barcode."
3. Get Barcode --&gt; Ensure that you do not see the UI of the third party app anymore.
4. Scan any barcode and verify that it is scanned successfully.</t>
        </is>
      </c>
      <c r="D13" s="387" t="n"/>
      <c r="E13" s="564" t="n"/>
      <c r="F13" s="564" t="n"/>
      <c r="G13" s="382" t="n"/>
      <c r="I13" s="140" t="inlineStr">
        <is>
          <t>Partial</t>
        </is>
      </c>
      <c r="J13" s="0" t="inlineStr">
        <is>
          <t>Yes</t>
        </is>
      </c>
      <c r="K13" s="0" t="inlineStr">
        <is>
          <t>flows_non_core/third_party_scanner/scanner_02_06_intent_callout_setting.yaml</t>
        </is>
      </c>
    </row>
    <row r="14">
      <c r="A14" s="387" t="inlineStr">
        <is>
          <t>Third party Scanner 7</t>
        </is>
      </c>
      <c r="B14" s="387" t="inlineStr">
        <is>
          <t>Uninstall Third Party scanner in use</t>
        </is>
      </c>
      <c r="C14" s="387" t="inlineStr">
        <is>
          <t>1. Again go to Settings -&gt; Use intent callout for scanner and Enable it.
2. Navigate to the barcode question and ensure you see that UI of the selected third party scanner
3. Now Uninstall both the third party scanners
4. Navigate back to the question and ensure that you do not see the UI of the third party app anymore.
5. Scan any barcode and verify that it is scanned successfully.</t>
        </is>
      </c>
      <c r="D14" s="387" t="n"/>
      <c r="E14" s="564" t="n"/>
      <c r="F14" s="564" t="n"/>
      <c r="G14" s="382" t="n"/>
      <c r="I14" s="140" t="inlineStr">
        <is>
          <t>Not automatable</t>
        </is>
      </c>
      <c r="J14" s="0" t="inlineStr">
        <is>
          <t>N/A</t>
        </is>
      </c>
      <c r="K14" s="0" t="n"/>
    </row>
  </sheetData>
  <mergeCells count="4">
    <mergeCell ref="B1:C1"/>
    <mergeCell ref="B3:C3"/>
    <mergeCell ref="B4:C4"/>
    <mergeCell ref="B2:C2"/>
  </mergeCells>
  <conditionalFormatting sqref="D8:D14">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14" showDropDown="0" showInputMessage="0" showErrorMessage="1" allowBlank="1" type="list">
      <formula1>"Pass,Fail,N/A,Blocking"</formula1>
    </dataValidation>
  </dataValidations>
  <hyperlinks>
    <hyperlink xmlns:r="http://schemas.openxmlformats.org/officeDocument/2006/relationships" ref="C11" r:id="rId1"/>
    <hyperlink xmlns:r="http://schemas.openxmlformats.org/officeDocument/2006/relationships" ref="C12" r:id="rId2"/>
  </hyperlinks>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K28"/>
  <sheetViews>
    <sheetView workbookViewId="0">
      <selection activeCell="A1" sqref="A1"/>
    </sheetView>
  </sheetViews>
  <sheetFormatPr baseColWidth="8" defaultColWidth="17.29" defaultRowHeight="15" customHeight="1"/>
  <cols>
    <col width="25" customWidth="1" style="629" min="1" max="1"/>
    <col width="27.43" customWidth="1" style="629" min="2" max="2"/>
    <col width="73" customWidth="1" style="629" min="3" max="3"/>
    <col width="20.43" customWidth="1" style="629" min="4" max="4"/>
    <col width="17.14" customWidth="1" style="629" min="5" max="6"/>
    <col width="18" customWidth="1" style="629" min="9" max="9"/>
    <col width="13" customWidth="1" style="629" min="10" max="10"/>
    <col width="60" customWidth="1" style="629" min="11" max="11"/>
  </cols>
  <sheetData>
    <row r="1">
      <c r="A1" s="568" t="inlineStr">
        <is>
          <t>Test Area:</t>
        </is>
      </c>
      <c r="B1" s="477" t="inlineStr">
        <is>
          <t>Adavanced Settings</t>
        </is>
      </c>
      <c r="C1" s="638" t="n"/>
      <c r="D1" s="567" t="n"/>
      <c r="E1" s="567" t="n"/>
      <c r="F1" s="567" t="n"/>
    </row>
    <row r="2" ht="16.5" customHeight="1" s="629">
      <c r="A2" s="568" t="inlineStr">
        <is>
          <t>Summary:</t>
        </is>
      </c>
      <c r="B2" s="477" t="inlineStr">
        <is>
          <t>Tests for advanced settings in the app builder</t>
        </is>
      </c>
      <c r="C2" s="638" t="n"/>
      <c r="D2" s="567" t="n"/>
      <c r="E2" s="567" t="n"/>
      <c r="F2" s="567" t="n"/>
    </row>
    <row r="3">
      <c r="A3" s="568" t="inlineStr">
        <is>
          <t>Domain:</t>
        </is>
      </c>
      <c r="B3" s="387" t="inlineStr">
        <is>
          <t>qateam</t>
        </is>
      </c>
      <c r="C3" s="638" t="n"/>
      <c r="D3" s="567" t="n"/>
      <c r="E3" s="567" t="n"/>
      <c r="F3" s="567" t="n"/>
    </row>
    <row r="4">
      <c r="A4" s="568" t="inlineStr">
        <is>
          <t xml:space="preserve">Applications: </t>
        </is>
      </c>
      <c r="B4" s="703" t="inlineStr">
        <is>
          <t>1. Advanced Settings App
2. Targeted Updates
3. Root menu as Home screen</t>
        </is>
      </c>
      <c r="C4" s="638" t="n"/>
      <c r="D4" s="567" t="n"/>
      <c r="E4" s="567" t="n"/>
      <c r="F4" s="567" t="n"/>
    </row>
    <row r="5">
      <c r="A5" s="582" t="n"/>
      <c r="B5" s="582" t="n"/>
      <c r="C5" s="582" t="n"/>
      <c r="D5" s="573" t="n"/>
      <c r="E5" s="582" t="n"/>
      <c r="F5" s="582" t="n"/>
    </row>
    <row r="6">
      <c r="A6" s="583" t="inlineStr">
        <is>
          <t>Test Case ID</t>
        </is>
      </c>
      <c r="B6" s="568" t="inlineStr">
        <is>
          <t>Summary</t>
        </is>
      </c>
      <c r="C6" s="568" t="inlineStr">
        <is>
          <t>Steps</t>
        </is>
      </c>
      <c r="D6" s="579" t="inlineStr">
        <is>
          <t>Pass/Fail</t>
        </is>
      </c>
      <c r="E6" s="568" t="inlineStr">
        <is>
          <t>Ticket ID</t>
        </is>
      </c>
      <c r="F6" s="568" t="inlineStr">
        <is>
          <t>Notes</t>
        </is>
      </c>
      <c r="I6" s="140" t="inlineStr">
        <is>
          <t>Maestro Automatability</t>
        </is>
      </c>
      <c r="J6" s="0" t="inlineStr">
        <is>
          <t>Automated?</t>
        </is>
      </c>
      <c r="K6" s="0" t="inlineStr">
        <is>
          <t>Flow File</t>
        </is>
      </c>
    </row>
    <row r="7">
      <c r="A7" s="628" t="inlineStr">
        <is>
          <t>Custom Properties</t>
        </is>
      </c>
      <c r="B7" s="585" t="n"/>
      <c r="C7" s="585" t="n"/>
      <c r="D7" s="586" t="n"/>
      <c r="E7" s="589" t="n"/>
      <c r="F7" s="589" t="n"/>
    </row>
    <row r="8">
      <c r="A8" s="477" t="inlineStr">
        <is>
          <t>Custom Properties 1</t>
        </is>
      </c>
      <c r="B8" s="477" t="inlineStr">
        <is>
          <t>cc-offer-pin-for-login</t>
        </is>
      </c>
      <c r="C8" s="477" t="inlineStr">
        <is>
          <t xml:space="preserve">1. Install the app Advanced Settings on the commcare version in test
2. Login using test1/123
3. Ensure that you see the option to use PIN for login
4. Select 'No, and don't ask again' -&gt; Logout and Log back in
5. Confirm that you should not get any prompted message to set a PIN.
6. From the top right corener select 3 dots -&gt; Select 'Set My Pin'
7. Enter your password when prompted and Logout
8. Login again and verift that you can use PIN you just set to login and not any other PIN.
</t>
        </is>
      </c>
      <c r="D8" s="477" t="n"/>
      <c r="E8" s="625" t="n"/>
      <c r="F8" s="625" t="n"/>
      <c r="I8" s="140" t="inlineStr">
        <is>
          <t>Automatable</t>
        </is>
      </c>
      <c r="J8" s="0" t="inlineStr">
        <is>
          <t>Yes</t>
        </is>
      </c>
      <c r="K8" s="0" t="inlineStr">
        <is>
          <t>flows_non_core/advanced_settings/custom_properties_01_offer_pin_for_login.yaml</t>
        </is>
      </c>
    </row>
    <row r="9">
      <c r="A9" s="477" t="inlineStr">
        <is>
          <t>Custom Properties 2</t>
        </is>
      </c>
      <c r="B9" s="477" t="inlineStr">
        <is>
          <t>cc-home-report</t>
        </is>
      </c>
      <c r="C9" s="477" t="inlineStr">
        <is>
          <t>1. Login to the application Advanced Settings
2. Ensure that you see a 'Report an Issue'  menu in the home screen
3. Select the menu  -&gt; Add some comment and submit the report
4. A window should open asking where you would like to send the report from (Gmail, another e-mail, or Google Drive - select the appropriate option for you)
5. Submit the e-mail (optional) or select the back button.
6. You should be returned to the home screen after submitting or selecting the back button.</t>
        </is>
      </c>
      <c r="D9" s="477" t="n"/>
      <c r="E9" s="625" t="n"/>
      <c r="F9" s="625" t="n"/>
      <c r="I9" s="140" t="inlineStr">
        <is>
          <t>Partial</t>
        </is>
      </c>
      <c r="J9" s="0" t="inlineStr">
        <is>
          <t>Yes</t>
        </is>
      </c>
      <c r="K9" s="0" t="inlineStr">
        <is>
          <t>flows_non_core/advanced_settings/custom_properties_02_home_report.yaml</t>
        </is>
      </c>
    </row>
    <row r="10">
      <c r="A10" s="477" t="inlineStr">
        <is>
          <t>Custom Properties 3</t>
        </is>
      </c>
      <c r="B10" s="477" t="inlineStr">
        <is>
          <t>incorrect_time_warning_enabled</t>
        </is>
      </c>
      <c r="C10" s="597" t="inlineStr">
        <is>
          <t>1. On the test device you're using, change the the device time more than an hour 
2. Go back to the application Advanced Settings and login
3. Verify that you see an alert dialog on login informing you that the your device time is set incorrectly.
4. Click on Correct Time -&gt; Ensure that you are redirected to the date and time settings on your device.
5. Correct the time and date and verify that yoi don't see the pop up any more.</t>
        </is>
      </c>
      <c r="D10" s="477" t="n"/>
      <c r="E10" s="625" t="n"/>
      <c r="F10" s="625" t="n"/>
      <c r="I10" s="140" t="inlineStr">
        <is>
          <t>Not automatable</t>
        </is>
      </c>
      <c r="J10" s="0" t="inlineStr">
        <is>
          <t>N/A</t>
        </is>
      </c>
      <c r="K10" s="0" t="n"/>
    </row>
    <row r="11">
      <c r="A11" s="477" t="inlineStr">
        <is>
          <t>Custom Properties 4</t>
        </is>
      </c>
      <c r="B11" s="477" t="inlineStr">
        <is>
          <t>cc-superuser-enabled</t>
        </is>
      </c>
      <c r="C11" s="477" t="inlineStr">
        <is>
          <t>1. Login into the app Advanced Settings
2. Click on the three dots on the top right corner -&gt; Settings 
3. Verify that you get to see" Developer Options" in the list of options
4. Verify the following are present:
- Developer Mode Enabled
- Show Update Option Item
- Image Above Question Text Enabled
- Detect and Trigger Purge on Form Save</t>
        </is>
      </c>
      <c r="D11" s="477" t="n"/>
      <c r="E11" s="625" t="n"/>
      <c r="F11" s="625" t="n"/>
      <c r="I11" s="140" t="inlineStr">
        <is>
          <t>Automatable</t>
        </is>
      </c>
      <c r="J11" s="0" t="inlineStr">
        <is>
          <t>Yes</t>
        </is>
      </c>
      <c r="K11" s="0" t="inlineStr">
        <is>
          <t>flows_non_core/advanced_settings/custom_properties_04_superuser_developer_options.yaml</t>
        </is>
      </c>
    </row>
    <row r="12">
      <c r="A12" s="477" t="inlineStr">
        <is>
          <t>Custom Properties 5</t>
        </is>
      </c>
      <c r="B12" s="477" t="inlineStr">
        <is>
          <t>cc-show-update-target-options</t>
        </is>
      </c>
      <c r="C12" s="477" t="inlineStr">
        <is>
          <t xml:space="preserve">1. Login into the app Advanced Settings
2. Click on the three dots on the top right corner -&gt; Settings 
3. Verify that you get to see "Update Options" in the list of options
4.  Click on the three dots on the top right corner -&gt; Update App
5.  Click on the three dots on the top right corner  and verify you see " Update Options" </t>
        </is>
      </c>
      <c r="D12" s="477" t="n"/>
      <c r="E12" s="625" t="n"/>
      <c r="F12" s="625" t="n"/>
      <c r="I12" s="140" t="inlineStr">
        <is>
          <t>Automatable</t>
        </is>
      </c>
      <c r="J12" s="0" t="inlineStr">
        <is>
          <t>Yes</t>
        </is>
      </c>
      <c r="K12" s="0" t="inlineStr">
        <is>
          <t>flows_non_core/advanced_settings/custom_properties_05_show_update_target_options.yaml</t>
        </is>
      </c>
    </row>
    <row r="13">
      <c r="A13" s="477" t="inlineStr">
        <is>
          <t>Custom Properties 6</t>
        </is>
      </c>
      <c r="B13" s="477" t="inlineStr">
        <is>
          <t>cc-hide-issue-report</t>
        </is>
      </c>
      <c r="C13" s="625" t="inlineStr">
        <is>
          <t>1. Login into the app Advanced Settings
2. Click on the three dots on the top right corner -&gt; Advanced
3. Verify that you DO NOT get to see "Report Problem" option in the 'Advanced' settings menu.</t>
        </is>
      </c>
      <c r="D13" s="477" t="n"/>
      <c r="E13" s="625" t="n"/>
      <c r="F13" s="625" t="n"/>
      <c r="I13" s="140" t="inlineStr">
        <is>
          <t>Automatable</t>
        </is>
      </c>
      <c r="J13" s="0" t="inlineStr">
        <is>
          <t>Yes</t>
        </is>
      </c>
      <c r="K13" s="0" t="inlineStr">
        <is>
          <t>flows_non_core/advanced_settings/custom_properties_06_hide_issue_report.yaml</t>
        </is>
      </c>
    </row>
    <row r="14">
      <c r="A14" s="477" t="inlineStr">
        <is>
          <t>Custom Properties 7</t>
        </is>
      </c>
      <c r="B14" s="477" t="inlineStr">
        <is>
          <t>cc-allow-space-in-select-choices</t>
        </is>
      </c>
      <c r="C14" s="477" t="inlineStr">
        <is>
          <t xml:space="preserve">1. Login to app Advanced Settings
2. Open form No space error -&gt; Survey
3. Verify that you get to see a error that answer option cannot contain spaces.
4. Now open the form Case List -&gt; Registration form
5. Add a name, select a city and submit the form
6. Ensure the form gets submitted successfully
</t>
        </is>
      </c>
      <c r="D14" s="477" t="n"/>
      <c r="E14" s="625" t="n"/>
      <c r="F14" s="625" t="n"/>
      <c r="I14" s="140" t="inlineStr">
        <is>
          <t>Automatable</t>
        </is>
      </c>
      <c r="J14" s="0" t="inlineStr">
        <is>
          <t>Yes</t>
        </is>
      </c>
      <c r="K14" s="0" t="inlineStr">
        <is>
          <t>flows_non_core/advanced_settings/custom_properties_07_no_space_in_select_choices.yaml</t>
        </is>
      </c>
    </row>
    <row r="15">
      <c r="A15" s="477" t="inlineStr">
        <is>
          <t>Custom Properties 8</t>
        </is>
      </c>
      <c r="B15" s="477" t="inlineStr">
        <is>
          <t>cc-alternate-question-text-format</t>
        </is>
      </c>
      <c r="C15" s="477" t="inlineStr">
        <is>
          <t xml:space="preserve">1. Login to app Advanced Settings
2. Open form Case List -&gt; Registration form
3. Verify that you get to see image appear above question text
4. Add a name, select a city and submit the form
5. Ensure the form gets submitted successfully
</t>
        </is>
      </c>
      <c r="D15" s="477" t="n"/>
      <c r="E15" s="625" t="n"/>
      <c r="F15" s="625" t="n"/>
      <c r="I15" s="140" t="inlineStr">
        <is>
          <t>Automatable</t>
        </is>
      </c>
      <c r="J15" s="0" t="inlineStr">
        <is>
          <t>Yes</t>
        </is>
      </c>
      <c r="K15" s="0" t="inlineStr">
        <is>
          <t>flows_non_core/advanced_settings/custom_properties_08_alternate_question_text_format.yaml</t>
        </is>
      </c>
    </row>
    <row r="16">
      <c r="A16" s="477" t="inlineStr">
        <is>
          <t>Custom Properties 9</t>
        </is>
      </c>
      <c r="B16" s="477" t="inlineStr">
        <is>
          <t>cc-detail-final-swipe-enabled</t>
        </is>
      </c>
      <c r="C16" s="477" t="inlineStr">
        <is>
          <t>1. Login to app Advanced Settings
2. Open Case List -&gt; Follow Up Form
3. Select any case 
4. Try to Swipe left to move forward
5. Verify that swipe actions are not functional
6. Ensure that you are able to move forward using the Continue button</t>
        </is>
      </c>
      <c r="D16" s="477" t="n"/>
      <c r="E16" s="625" t="n"/>
      <c r="F16" s="625" t="n"/>
      <c r="I16" s="140" t="inlineStr">
        <is>
          <t>Partial</t>
        </is>
      </c>
      <c r="J16" s="0" t="inlineStr">
        <is>
          <t>Yes</t>
        </is>
      </c>
      <c r="K16" s="0" t="inlineStr">
        <is>
          <t>flows_non_core/advanced_settings/custom_properties_09_detail_final_swipe_disabled.yaml</t>
        </is>
      </c>
    </row>
    <row r="17">
      <c r="A17" s="477" t="inlineStr">
        <is>
          <t>Custom Properties 10</t>
        </is>
      </c>
      <c r="B17" s="477" t="inlineStr">
        <is>
          <t>cc-list-refresh</t>
        </is>
      </c>
      <c r="C17" s="477" t="inlineStr">
        <is>
          <t>1. Login to app Advanced Settings
2. Open Case List -&gt; Follow Up Form
3. Stay on the case list for ~ 15 secs
4. Verify that the time on the case list auto updates every 15 seconds</t>
        </is>
      </c>
      <c r="D17" s="477" t="n"/>
      <c r="E17" s="625" t="n"/>
      <c r="F17" s="625" t="n"/>
      <c r="I17" s="140" t="inlineStr">
        <is>
          <t>Automatable</t>
        </is>
      </c>
      <c r="J17" s="0" t="inlineStr">
        <is>
          <t>Yes</t>
        </is>
      </c>
      <c r="K17" s="0" t="inlineStr">
        <is>
          <t>flows_non_core/advanced_settings/custom_properties_10_list_refresh.yaml</t>
        </is>
      </c>
    </row>
    <row r="18">
      <c r="A18" s="477" t="inlineStr">
        <is>
          <t>Custom Properties 11</t>
        </is>
      </c>
      <c r="B18" s="477" t="inlineStr">
        <is>
          <t>cc-update-target - "release"</t>
        </is>
      </c>
      <c r="C18" s="619" t="inlineStr">
        <is>
          <t>1. Open Targeted Updates app and go to the Advanced Settings 
2. Set custom property "cc-update-target" as "release" 
3. Publish the new changes and add a comment to version as "cc-update-target -&gt; release"
4. Make some other changes to the app and make two new versions (Can add new forms)
- one marked as "Released" 
- the other "In Test"
5. Install the version with the comment "cc-update-target -&gt; release"
6. Update the app 
7. Ensure that it looks for the latest released version of the app for update.
8. Update the app and verify app version. Ensure that it has been updated with the latest released version as mentioned while updating.</t>
        </is>
      </c>
      <c r="D18" s="477" t="n"/>
      <c r="E18" s="625" t="n"/>
      <c r="F18" s="625" t="n"/>
      <c r="I18" s="140" t="inlineStr">
        <is>
          <t>Partial</t>
        </is>
      </c>
      <c r="J18" s="0" t="inlineStr">
        <is>
          <t>Yes</t>
        </is>
      </c>
      <c r="K18" s="0" t="inlineStr">
        <is>
          <t>flows_non_core/advanced_settings/custom_properties_11_update_target_release.yaml (run via scripts/run_targeted_updates_check.py)</t>
        </is>
      </c>
    </row>
    <row r="19">
      <c r="A19" s="477" t="inlineStr">
        <is>
          <t>Custom Properties 12</t>
        </is>
      </c>
      <c r="B19" s="477" t="inlineStr">
        <is>
          <t>cc-update-target - "build"</t>
        </is>
      </c>
      <c r="C19" s="619" t="inlineStr">
        <is>
          <t>1. Open Targeted Updates app and go to the Advanced Settings 
2. Set custom property "cc-update-target" as "build" 
3. Publish the new changes and add a comment to version as "cc-update-target -&gt; build"
4. Make some other changes to the app (can add new forms)  and publish a new version. Let it remain "In Test" (Do not mark it Released)
5. Install the version with the comment "cc-update-target -&gt; build"
6. Update the app 
7. Ensure that it looks for the latest "In Test" version of the app for update
8. Update the app and verify app version. Ensure that it has been updated with the latest "In Test" version as mentioned while updating.</t>
        </is>
      </c>
      <c r="D19" s="477" t="n"/>
      <c r="E19" s="625" t="n"/>
      <c r="F19" s="625" t="n"/>
      <c r="I19" s="140" t="inlineStr">
        <is>
          <t>Partial</t>
        </is>
      </c>
      <c r="J19" s="0" t="inlineStr">
        <is>
          <t>Yes</t>
        </is>
      </c>
      <c r="K19" s="0" t="inlineStr">
        <is>
          <t>flows_non_core/advanced_settings/custom_properties_12_update_target_build.yaml (run via scripts/run_targeted_updates_check.py)</t>
        </is>
      </c>
    </row>
    <row r="20">
      <c r="A20" s="477" t="inlineStr">
        <is>
          <t>Custom Properties 13</t>
        </is>
      </c>
      <c r="B20" s="477" t="inlineStr">
        <is>
          <t>cc-update-target - "save"</t>
        </is>
      </c>
      <c r="C20" s="619" t="inlineStr">
        <is>
          <t>1. Open Targeted Updates app and go to the Advanced Settings 
2. Set custom property "cc-update-target" as "save" 
3. Publish the new changes and add a comment to version as "cc-update-target -&gt; save"
4. Make some other changes to the app and DO NOT publish any version 
5. Install the version with the comment "cc-update-target -&gt; save"
6. Update the app 
7. Ensure that it looks for the latest saved state (unpublished/unsaved changes) of the app for update
8. Update the app and verify app version. Ensure that it has been updated with the new changes.
9. On the release history of the app , an auto generated version should have been pusblished.</t>
        </is>
      </c>
      <c r="D20" s="477" t="n"/>
      <c r="E20" s="625" t="n"/>
      <c r="F20" s="625" t="n"/>
      <c r="I20" s="140" t="inlineStr">
        <is>
          <t>Partial</t>
        </is>
      </c>
      <c r="J20" s="0" t="inlineStr">
        <is>
          <t>Yes</t>
        </is>
      </c>
      <c r="K20" s="0" t="inlineStr">
        <is>
          <t>flows_non_core/advanced_settings/custom_properties_13_update_target_save.yaml (run via scripts/run_targeted_updates_check.py)</t>
        </is>
      </c>
    </row>
    <row r="21">
      <c r="A21" s="477" t="inlineStr">
        <is>
          <t>Custom Properties 14</t>
        </is>
      </c>
      <c r="B21" s="623" t="inlineStr">
        <is>
          <t>pre-update-sync-needed</t>
        </is>
      </c>
      <c r="C21" s="625" t="inlineStr">
        <is>
          <t>1. Open Targeted Updates app and go to the Advanced Settings 
2. Set custom property "pre-update-sync-needed" as "yes" 
3. Publish these changes and install it on the phone
4. Make some new changes on the app
5. Update the app
6. Verify that you see "Sync to Update" option while updating
7. Sync to update
8. Log back and check if the app has been updated.</t>
        </is>
      </c>
      <c r="D21" s="477" t="n"/>
      <c r="E21" s="625" t="n"/>
      <c r="F21" s="625" t="n"/>
      <c r="I21" s="140" t="inlineStr">
        <is>
          <t>Partial</t>
        </is>
      </c>
      <c r="J21" s="0" t="inlineStr">
        <is>
          <t>Yes</t>
        </is>
      </c>
      <c r="K21" s="0" t="inlineStr">
        <is>
          <t>flows_non_core/advanced_settings/custom_properties_14_pre_update_sync_needed.yaml (run via scripts/run_targeted_updates_check.py)</t>
        </is>
      </c>
    </row>
    <row r="22">
      <c r="A22" s="477" t="inlineStr">
        <is>
          <t>Custom Properties 15</t>
        </is>
      </c>
      <c r="B22" s="387" t="inlineStr">
        <is>
          <t>cc-use-root-menu-as-home-screen</t>
        </is>
      </c>
      <c r="C22" s="184" t="inlineStr">
        <is>
          <t>1. Install app  Root menu as Home screen and login as test1/123
2. Ensure after you login, it should directly open the modules list, along with a navigation drawer. 
  - There should be a hamburger icon on the top left corner of the screen
  - Clicking on the icon should open a list of menu items in the navigation panel, similar to what we see after clicking the options menu in the normal use-case
3. While still logged in navigate through the application 
  - Submit a form
  - Submit an incomplete form
  - While in a form, press back button
  - Minimize the app and bring it back to the foreground etc
4. Make sure that the navigation panel is visible everytime you come back to the module screen from any other screen</t>
        </is>
      </c>
      <c r="D22" s="477" t="n"/>
      <c r="E22" s="619" t="inlineStr">
        <is>
          <t>SAAS-15837</t>
        </is>
      </c>
      <c r="F22" s="625" t="inlineStr">
        <is>
          <t>Note: 
Here the Incomplete Forms are not shown directly. Its seen under option 'Saved Forms' and filter update to 'Only Incomplete Forms'  then will show the incomplete forms.</t>
        </is>
      </c>
      <c r="I22" s="140" t="inlineStr">
        <is>
          <t>Automatable</t>
        </is>
      </c>
      <c r="J22" s="0" t="inlineStr">
        <is>
          <t>Yes</t>
        </is>
      </c>
      <c r="K22" s="0" t="inlineStr">
        <is>
          <t>flows_non_core/advanced_settings/custom_properties_15_root_menu_as_home_screen.yaml (CommCare 2.64 and earlier; skipped on 2.65+, which removed root-menu-as-home-screen)</t>
        </is>
      </c>
    </row>
    <row r="23">
      <c r="A23" s="477" t="inlineStr">
        <is>
          <t>Custom Properties 16</t>
        </is>
      </c>
      <c r="B23" s="387" t="inlineStr">
        <is>
          <t>cc-encrypt-captured-media</t>
        </is>
      </c>
      <c r="C23" s="387" t="inlineStr">
        <is>
          <t>1. Install Multimedia app
2. Go to the Advanced Settings 
3. Set custom property "cc-encrypt-captured-media" as "no" and insatll the new versio of app.
4. Submit the Media Capture form by attaching media to all questions
5. Open file manager on your device
6. For the form you just submitted, verify the media in `android/data/org.commcare.dalvik/files/app/appid/formdata/formid/` 
7. Verify the media files do not have .aes extension (they are not encrypted)
8. Set custom property "cc-encrypt-captured-media" as "yes" and insatll the new versio of app.
9. Submit the Media Capture form by attaching media to all questions
10. Open file manager on your device
11. For the form you just submitted, verify the media in `android/data/org.commcare.dalvik/files/app/appid/formdata/formid/` 
12. Verify the media files have .aes extension (they are encrypted)
13. Return to Submit history on HQ
14. Open form submission &gt; Attachments
15. Verify the media can be downloaded and has the same name as it has in the XML (You can check file names for the form in "Saved Forms" match with the ones in Submit History)</t>
        </is>
      </c>
      <c r="D23" s="477" t="n"/>
      <c r="E23" s="625" t="n"/>
      <c r="F23" s="625" t="n"/>
      <c r="I23" s="140" t="inlineStr">
        <is>
          <t>Not automatable</t>
        </is>
      </c>
      <c r="J23" s="0" t="inlineStr">
        <is>
          <t>N/A</t>
        </is>
      </c>
      <c r="K23" s="0" t="n"/>
    </row>
    <row r="24">
      <c r="A24" s="628" t="inlineStr">
        <is>
          <t>Build/Android Settings</t>
        </is>
      </c>
      <c r="B24" s="585" t="n"/>
      <c r="C24" s="585" t="n"/>
      <c r="D24" s="586" t="n"/>
      <c r="E24" s="589" t="n"/>
      <c r="F24" s="589" t="n"/>
    </row>
    <row r="25">
      <c r="A25" s="477" t="inlineStr">
        <is>
          <t>Settings 1</t>
        </is>
      </c>
      <c r="B25" s="477" t="inlineStr">
        <is>
          <t>Modules and Forms Menu Display</t>
        </is>
      </c>
      <c r="C25" s="478" t="inlineStr">
        <is>
          <t>1. Install the app Advanced Settings on the commcare version in test
2. Login using test1/123
3. Verify the module and the form screen are displayed as a grid on the mobile device
4. Ensure that there are no UI quirks
(Please refer this confluence to see how it looks)</t>
        </is>
      </c>
      <c r="D25" s="477" t="n"/>
      <c r="E25" s="625" t="n"/>
      <c r="F25" s="625" t="n"/>
      <c r="I25" s="140" t="inlineStr">
        <is>
          <t>Partial</t>
        </is>
      </c>
      <c r="J25" s="0" t="inlineStr">
        <is>
          <t>Yes</t>
        </is>
      </c>
      <c r="K25" s="0" t="inlineStr">
        <is>
          <t>flows_non_core/advanced_settings/settings_01_grid_menu_display.yaml</t>
        </is>
      </c>
    </row>
    <row r="26">
      <c r="A26" s="477" t="inlineStr">
        <is>
          <t>Settings 2</t>
        </is>
      </c>
      <c r="B26" s="477" t="inlineStr">
        <is>
          <t>Auto-Sync Frequency</t>
        </is>
      </c>
      <c r="C26" s="477" t="inlineStr">
        <is>
          <t>1. Open Advanced Settings
2. Turn off the mobile data or wifi you're conected to
3. Submit a couple of formsform
4. Change the device date to the next day's
5. Enable to mobile data or wifi
6. Login and verify the unsent forms are synced automatically
7 Go to submit history and verify the forms have been submitted.</t>
        </is>
      </c>
      <c r="D26" s="477" t="n"/>
      <c r="E26" s="625" t="n"/>
      <c r="F26" s="625" t="n"/>
      <c r="I26" s="140" t="inlineStr">
        <is>
          <t>Not automatable</t>
        </is>
      </c>
      <c r="J26" s="0" t="inlineStr">
        <is>
          <t>N/A</t>
        </is>
      </c>
      <c r="K26" s="0" t="n"/>
    </row>
    <row r="27">
      <c r="A27" s="477" t="inlineStr">
        <is>
          <t>Settings 3</t>
        </is>
      </c>
      <c r="B27" s="477" t="inlineStr">
        <is>
          <t>Days for Review</t>
        </is>
      </c>
      <c r="C27" s="477" t="inlineStr">
        <is>
          <t>1. Install the app Advanced Settings on the commcare version in test
2. Login using test1/123
3. Submit a couple of forms
4. Go to Saved Forms and Ensure it is visible there
5. Set the device date as today+7days
6. Go back to to Saved Forms and ensure they are erased from the phone and hence displayed no more</t>
        </is>
      </c>
      <c r="D27" s="477" t="n"/>
      <c r="E27" s="625" t="n"/>
      <c r="F27" s="625" t="n"/>
      <c r="I27" s="140" t="inlineStr">
        <is>
          <t>Not automatable</t>
        </is>
      </c>
      <c r="J27" s="0" t="inlineStr">
        <is>
          <t>N/A</t>
        </is>
      </c>
      <c r="K27" s="0" t="n"/>
    </row>
    <row r="28">
      <c r="A28" s="477" t="inlineStr">
        <is>
          <t>Settings 4</t>
        </is>
      </c>
      <c r="B28" s="477" t="inlineStr">
        <is>
          <t>Enable asterisk on required question</t>
        </is>
      </c>
      <c r="C28" s="477" t="inlineStr">
        <is>
          <t>1. Login using test1/123
2. Open the form Case List -&gt; Registration form
3. Verify an astriek is displayed for the questions as they are mandatory</t>
        </is>
      </c>
      <c r="D28" s="477" t="n"/>
      <c r="E28" s="625" t="n"/>
      <c r="F28" s="625" t="n"/>
      <c r="I28" s="140" t="inlineStr">
        <is>
          <t>Automatable</t>
        </is>
      </c>
      <c r="J28" s="0" t="inlineStr">
        <is>
          <t>Yes</t>
        </is>
      </c>
      <c r="K28" s="0" t="inlineStr">
        <is>
          <t>flows_non_core/advanced_settings/settings_04_asterisk_on_required_question.yaml</t>
        </is>
      </c>
    </row>
  </sheetData>
  <mergeCells count="4">
    <mergeCell ref="B1:C1"/>
    <mergeCell ref="B3:C3"/>
    <mergeCell ref="B4:C4"/>
    <mergeCell ref="B2:C2"/>
  </mergeCells>
  <conditionalFormatting sqref="D8:D28">
    <cfRule type="containsText" priority="1" operator="containsText" dxfId="0" text="Pass">
      <formula>NOT(ISERROR(SEARCH(("Pass"),(D8))))</formula>
    </cfRule>
    <cfRule type="containsText" priority="2" operator="containsText" dxfId="1" text="Fail">
      <formula>NOT(ISERROR(SEARCH(("Fail"),(D8))))</formula>
    </cfRule>
    <cfRule type="containsText" priority="3" operator="containsText" dxfId="2" text="N/A">
      <formula>NOT(ISERROR(SEARCH(("N/A"),(D8))))</formula>
    </cfRule>
    <cfRule type="containsText" priority="4" operator="containsText" dxfId="3" text="Blocking">
      <formula>NOT(ISERROR(SEARCH(("Blocking"),(D8))))</formula>
    </cfRule>
  </conditionalFormatting>
  <dataValidations count="1">
    <dataValidation sqref="D8:D23 D25:D28" showDropDown="0" showInputMessage="0" showErrorMessage="1" allowBlank="1" type="list">
      <formula1>"Pass,Fail,N/A,Blocking"</formula1>
    </dataValidation>
  </dataValidations>
  <hyperlinks>
    <hyperlink xmlns:r="http://schemas.openxmlformats.org/officeDocument/2006/relationships" ref="B4" r:id="rId1"/>
    <hyperlink xmlns:r="http://schemas.openxmlformats.org/officeDocument/2006/relationships" ref="C18" r:id="rId2"/>
    <hyperlink xmlns:r="http://schemas.openxmlformats.org/officeDocument/2006/relationships" ref="C19" r:id="rId3"/>
    <hyperlink xmlns:r="http://schemas.openxmlformats.org/officeDocument/2006/relationships" ref="C20" r:id="rId4"/>
    <hyperlink xmlns:r="http://schemas.openxmlformats.org/officeDocument/2006/relationships" ref="C22" r:id="rId5"/>
    <hyperlink xmlns:r="http://schemas.openxmlformats.org/officeDocument/2006/relationships" ref="E22" r:id="rId6"/>
    <hyperlink xmlns:r="http://schemas.openxmlformats.org/officeDocument/2006/relationships" ref="C25" r:id="rId7"/>
  </hyperlink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K11"/>
  <sheetViews>
    <sheetView workbookViewId="0">
      <selection activeCell="A1" sqref="A1"/>
    </sheetView>
  </sheetViews>
  <sheetFormatPr baseColWidth="8" defaultColWidth="17.29" defaultRowHeight="15" customHeight="1"/>
  <cols>
    <col width="34.43" customWidth="1" style="629" min="2" max="2"/>
    <col width="75.29000000000001" customWidth="1" style="629" min="3" max="3"/>
    <col width="24.14" customWidth="1" style="629" min="4" max="4"/>
    <col width="21.14" customWidth="1" style="629" min="5" max="5"/>
    <col width="18" customWidth="1" style="629" min="9" max="9"/>
    <col width="13" customWidth="1" style="629" min="10" max="10"/>
    <col width="60" customWidth="1" style="629" min="11" max="11"/>
  </cols>
  <sheetData>
    <row r="1">
      <c r="A1" s="568" t="inlineStr">
        <is>
          <t>Test Area:</t>
        </is>
      </c>
      <c r="B1" s="477" t="inlineStr">
        <is>
          <t>Update and Performance Tests</t>
        </is>
      </c>
      <c r="C1" s="638" t="n"/>
      <c r="D1" s="567" t="n"/>
      <c r="E1" s="567" t="n"/>
    </row>
    <row r="2" ht="16.5" customHeight="1" s="629">
      <c r="A2" s="568" t="inlineStr">
        <is>
          <t>Summary:</t>
        </is>
      </c>
      <c r="B2" s="477" t="inlineStr">
        <is>
          <t>Update/Performance test that will be used as a baseline for all releases.</t>
        </is>
      </c>
      <c r="C2" s="638" t="n"/>
      <c r="D2" s="567" t="n"/>
      <c r="E2" s="567" t="n"/>
    </row>
    <row r="3">
      <c r="A3" s="568" t="inlineStr">
        <is>
          <t>Domain:</t>
        </is>
      </c>
      <c r="B3" s="387" t="inlineStr">
        <is>
          <t>qateam</t>
        </is>
      </c>
      <c r="C3" s="638" t="n"/>
      <c r="D3" s="567" t="n"/>
      <c r="E3" s="567" t="n"/>
    </row>
    <row r="4">
      <c r="A4" s="568" t="inlineStr">
        <is>
          <t xml:space="preserve">Applications: </t>
        </is>
      </c>
      <c r="B4" s="704" t="inlineStr">
        <is>
          <t>Large App</t>
        </is>
      </c>
      <c r="C4" s="638" t="n"/>
      <c r="D4" s="567" t="n"/>
      <c r="E4" s="567" t="n"/>
    </row>
    <row r="5">
      <c r="A5" s="582" t="n"/>
      <c r="B5" s="582" t="n"/>
      <c r="C5" s="582" t="n"/>
      <c r="D5" s="573" t="n"/>
      <c r="E5" s="582" t="n"/>
    </row>
    <row r="6">
      <c r="A6" s="574" t="inlineStr">
        <is>
          <t>Test Case ID</t>
        </is>
      </c>
      <c r="B6" s="579" t="inlineStr">
        <is>
          <t>Summary</t>
        </is>
      </c>
      <c r="C6" s="579" t="inlineStr">
        <is>
          <t>Steps</t>
        </is>
      </c>
      <c r="D6" s="579" t="inlineStr">
        <is>
          <t>Pass/Fail</t>
        </is>
      </c>
      <c r="E6" s="579" t="inlineStr">
        <is>
          <t>Notes/Ticket ID</t>
        </is>
      </c>
      <c r="I6" s="140" t="inlineStr">
        <is>
          <t>Maestro Automatability</t>
        </is>
      </c>
      <c r="J6" s="0" t="inlineStr">
        <is>
          <t>Automated?</t>
        </is>
      </c>
      <c r="K6" s="0" t="inlineStr">
        <is>
          <t>Flow File</t>
        </is>
      </c>
    </row>
    <row r="7">
      <c r="A7" s="580" t="inlineStr">
        <is>
          <t>Perf 1</t>
        </is>
      </c>
      <c r="B7" s="581" t="inlineStr">
        <is>
          <t>Install App on old CC version</t>
        </is>
      </c>
      <c r="C7" s="587" t="inlineStr">
        <is>
          <t>1. Install cc version 2.21, old APKs are linked here 
2. Install Large App
- Publish &gt; Scan Application Barcode &gt; You can also click here in your mobile browser.
- On opening the hyperlink using the commcare app yu should be able to insatll the app</t>
        </is>
      </c>
      <c r="D7" s="580" t="n"/>
      <c r="E7" s="590" t="n"/>
      <c r="I7" s="140" t="inlineStr">
        <is>
          <t>Partial</t>
        </is>
      </c>
      <c r="J7" s="0" t="inlineStr">
        <is>
          <t>Yes</t>
        </is>
      </c>
      <c r="K7" s="0" t="inlineStr">
        <is>
          <t>scripts/run_appium_non_core_upgrade_suite.py --scenario performance_upgrade (CommCare 2.45 -&gt; release, mid-session upgrade)</t>
        </is>
      </c>
    </row>
    <row r="8">
      <c r="A8" s="580" t="inlineStr">
        <is>
          <t>Perf 2</t>
        </is>
      </c>
      <c r="B8" s="581" t="inlineStr">
        <is>
          <t>Update Commcare</t>
        </is>
      </c>
      <c r="C8" s="581" t="inlineStr">
        <is>
          <t>1. Ensure the version in test has been uploaded to beta track
2. Read through all of the tests before continuing and note the readings below
3. Update CommCare</t>
        </is>
      </c>
      <c r="D8" s="580" t="n"/>
      <c r="E8" s="590" t="n"/>
      <c r="I8" s="140" t="inlineStr">
        <is>
          <t>Partial</t>
        </is>
      </c>
      <c r="J8" s="0" t="inlineStr">
        <is>
          <t>Yes</t>
        </is>
      </c>
      <c r="K8" s="0" t="inlineStr">
        <is>
          <t>scripts/run_appium_non_core_upgrade_suite.py --scenario performance_upgrade (CommCare 2.45 -&gt; release, mid-session upgrade)</t>
        </is>
      </c>
    </row>
    <row r="9">
      <c r="A9" s="591" t="inlineStr">
        <is>
          <t>Sl No.</t>
        </is>
      </c>
      <c r="B9" s="591" t="inlineStr">
        <is>
          <t>Summary</t>
        </is>
      </c>
      <c r="C9" s="591" t="inlineStr">
        <is>
          <t>Description</t>
        </is>
      </c>
      <c r="D9" s="591" t="inlineStr">
        <is>
          <t>Time Taken (In Secs)</t>
        </is>
      </c>
      <c r="E9" s="591" t="inlineStr">
        <is>
          <t>Comments (if any)</t>
        </is>
      </c>
      <c r="I9" s="140" t="inlineStr">
        <is>
          <t>Maestro Automatability</t>
        </is>
      </c>
      <c r="J9" s="0" t="inlineStr">
        <is>
          <t>Automated?</t>
        </is>
      </c>
      <c r="K9" s="0" t="inlineStr">
        <is>
          <t>Flow File</t>
        </is>
      </c>
    </row>
    <row r="10">
      <c r="A10" s="593" t="n">
        <v>1</v>
      </c>
      <c r="B10" s="477" t="inlineStr">
        <is>
          <t>Time Taken to load Login Screen</t>
        </is>
      </c>
      <c r="C10" s="595" t="inlineStr">
        <is>
          <t xml:space="preserve">1. Open commcare app on phone 
2. Note how long it takes for CC app to open/load/show the login screen. 
(This delay would be proportional to the number for distinct forms present in the app.)
</t>
        </is>
      </c>
      <c r="D10" s="596" t="n"/>
      <c r="E10" s="596" t="n"/>
      <c r="I10" s="140" t="inlineStr">
        <is>
          <t>Automatable</t>
        </is>
      </c>
      <c r="J10" s="0" t="inlineStr">
        <is>
          <t>Yes</t>
        </is>
      </c>
      <c r="K10" s="0" t="inlineStr">
        <is>
          <t>flows_non_core/performance_tests/perf_rows_01_02_login_screen_and_home_load.yaml</t>
        </is>
      </c>
    </row>
    <row r="11">
      <c r="A11" s="600" t="n">
        <v>2</v>
      </c>
      <c r="B11" s="477" t="inlineStr">
        <is>
          <t>Time Taken to land on Home Screen</t>
        </is>
      </c>
      <c r="C11" s="581" t="inlineStr">
        <is>
          <t>1. Login into the app with username/password: large/123
2. Note how long does it take for user to login and come on the home screen after clicking the login button. 
(This delay is proprtional to number of cases present in the app.)</t>
        </is>
      </c>
      <c r="D11" s="596" t="n"/>
      <c r="E11" s="596" t="n"/>
      <c r="I11" s="140" t="inlineStr">
        <is>
          <t>Automatable</t>
        </is>
      </c>
      <c r="J11" s="0" t="inlineStr">
        <is>
          <t>Yes</t>
        </is>
      </c>
      <c r="K11" s="0" t="inlineStr">
        <is>
          <t>flows_non_core/performance_tests/perf_rows_01_02_login_screen_and_home_load.yaml</t>
        </is>
      </c>
    </row>
  </sheetData>
  <mergeCells count="4">
    <mergeCell ref="B1:C1"/>
    <mergeCell ref="B3:C3"/>
    <mergeCell ref="B4:C4"/>
    <mergeCell ref="B2:C2"/>
  </mergeCells>
  <conditionalFormatting sqref="D7:D8">
    <cfRule type="containsText" priority="1" operator="containsText" dxfId="0" text="Pass">
      <formula>NOT(ISERROR(SEARCH(("Pass"),(D7))))</formula>
    </cfRule>
    <cfRule type="containsText" priority="2" operator="containsText" dxfId="1" text="Fail">
      <formula>NOT(ISERROR(SEARCH(("Fail"),(D7))))</formula>
    </cfRule>
    <cfRule type="containsText" priority="3" operator="containsText" dxfId="2" text="N/A">
      <formula>NOT(ISERROR(SEARCH(("N/A"),(D7))))</formula>
    </cfRule>
    <cfRule type="containsText" priority="4" operator="containsText" dxfId="3" text="Blocking">
      <formula>NOT(ISERROR(SEARCH(("Blocking"),(D7))))</formula>
    </cfRule>
  </conditionalFormatting>
  <dataValidations count="1">
    <dataValidation sqref="D7:D8" showDropDown="0" showInputMessage="0" showErrorMessage="1" allowBlank="1" type="list">
      <formula1>"Pass,Fail,N/A,Blocking"</formula1>
    </dataValidation>
  </dataValidations>
  <hyperlinks>
    <hyperlink xmlns:r="http://schemas.openxmlformats.org/officeDocument/2006/relationships" ref="B4" r:id="rId1"/>
    <hyperlink xmlns:r="http://schemas.openxmlformats.org/officeDocument/2006/relationships" ref="C7" r:id="rId2"/>
  </hyperlink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K24"/>
  <sheetViews>
    <sheetView workbookViewId="0">
      <selection activeCell="A1" sqref="A1"/>
    </sheetView>
  </sheetViews>
  <sheetFormatPr baseColWidth="8" defaultColWidth="17.29" defaultRowHeight="15" customHeight="1"/>
  <cols>
    <col width="34.43" customWidth="1" style="629" min="2" max="2"/>
    <col width="75.29000000000001" customWidth="1" style="629" min="3" max="3"/>
    <col width="24.14" customWidth="1" style="629" min="4" max="4"/>
    <col width="21.14" customWidth="1" style="629" min="5" max="6"/>
    <col width="18" customWidth="1" style="629" min="9" max="9"/>
    <col width="13" customWidth="1" style="629" min="10" max="10"/>
    <col width="60" customWidth="1" style="629" min="11" max="11"/>
  </cols>
  <sheetData>
    <row r="1">
      <c r="A1" s="611" t="inlineStr">
        <is>
          <t>Test Area:</t>
        </is>
      </c>
      <c r="B1" s="198" t="inlineStr">
        <is>
          <t>Case List Optimization, Cache and index.</t>
        </is>
      </c>
      <c r="C1" s="638" t="n"/>
      <c r="D1" s="604" t="n"/>
      <c r="E1" s="604" t="n"/>
      <c r="F1" s="604" t="n"/>
    </row>
    <row r="2" ht="16.5" customHeight="1" s="629">
      <c r="A2" s="611" t="inlineStr">
        <is>
          <t>Summary:</t>
        </is>
      </c>
      <c r="B2" s="198" t="inlineStr">
        <is>
          <t>Tests around the case lists and different features for loading optimization on mobile</t>
        </is>
      </c>
      <c r="C2" s="638" t="n"/>
      <c r="D2" s="604" t="n"/>
      <c r="E2" s="604" t="n"/>
      <c r="F2" s="604" t="n"/>
    </row>
    <row r="3">
      <c r="A3" s="611" t="inlineStr">
        <is>
          <t>Domain:</t>
        </is>
      </c>
      <c r="B3" s="705" t="inlineStr">
        <is>
          <t xml:space="preserve">https://www.commcarehq.org/a/qateam/apps/view/1ec1f67174327b5846acdfc45fd842cc/releases/   
https://www.commcarehq.org/a/qateam/apps/view/b0cd79c6a0e249f4a0a1723ea529a742/releases/ </t>
        </is>
      </c>
      <c r="C3" s="638" t="n"/>
      <c r="D3" s="604" t="n"/>
      <c r="E3" s="604" t="n"/>
      <c r="F3" s="604" t="n"/>
    </row>
    <row r="4">
      <c r="A4" s="611" t="inlineStr">
        <is>
          <t xml:space="preserve">Application: </t>
        </is>
      </c>
      <c r="B4" s="198" t="inlineStr">
        <is>
          <t>Case List Optimization, Cache and index.</t>
        </is>
      </c>
      <c r="C4" s="638" t="n"/>
      <c r="D4" s="604" t="n"/>
      <c r="E4" s="604" t="n"/>
      <c r="F4" s="604" t="n"/>
    </row>
    <row r="5">
      <c r="A5" s="611" t="inlineStr">
        <is>
          <t>Frequency:</t>
        </is>
      </c>
      <c r="B5" s="336" t="n">
        <v>1</v>
      </c>
      <c r="C5" s="638" t="n"/>
      <c r="D5" s="604" t="n"/>
      <c r="E5" s="604" t="n"/>
      <c r="F5" s="604" t="n"/>
    </row>
    <row r="6">
      <c r="A6" s="611" t="inlineStr">
        <is>
          <t>Prerequisites:</t>
        </is>
      </c>
      <c r="B6" s="706" t="inlineStr">
        <is>
          <t xml:space="preserve">Install both the apps on the tested apk </t>
        </is>
      </c>
      <c r="C6" s="638" t="n"/>
      <c r="D6" s="604" t="n"/>
      <c r="E6" s="604" t="n"/>
      <c r="F6" s="604" t="n"/>
    </row>
    <row r="7">
      <c r="A7" s="604" t="n"/>
      <c r="B7" s="604" t="n"/>
      <c r="C7" s="604" t="n"/>
      <c r="D7" s="604" t="n"/>
      <c r="E7" s="604" t="n"/>
      <c r="F7" s="604" t="n"/>
    </row>
    <row r="8">
      <c r="A8" s="611" t="inlineStr">
        <is>
          <t>Test Case ID</t>
        </is>
      </c>
      <c r="B8" s="611" t="inlineStr">
        <is>
          <t>Summary</t>
        </is>
      </c>
      <c r="C8" s="611" t="inlineStr">
        <is>
          <t>Steps</t>
        </is>
      </c>
      <c r="D8" s="579" t="inlineStr">
        <is>
          <t>Pass/Fail</t>
        </is>
      </c>
      <c r="E8" s="611" t="inlineStr">
        <is>
          <t>Notes</t>
        </is>
      </c>
      <c r="F8" s="517" t="inlineStr">
        <is>
          <t>Ticket ID</t>
        </is>
      </c>
      <c r="I8" s="140" t="inlineStr">
        <is>
          <t>Maestro Automatability</t>
        </is>
      </c>
      <c r="J8" s="0" t="inlineStr">
        <is>
          <t>Automated?</t>
        </is>
      </c>
      <c r="K8" s="0" t="inlineStr">
        <is>
          <t>Flow File</t>
        </is>
      </c>
    </row>
    <row r="9">
      <c r="A9" s="198" t="inlineStr">
        <is>
          <t>Setup 1</t>
        </is>
      </c>
      <c r="B9" s="198" t="inlineStr">
        <is>
          <t>Login</t>
        </is>
      </c>
      <c r="C9" s="198" t="inlineStr">
        <is>
          <t>1. Enter your user name and password and select "Log In"
2. Verify that a message box pops up saying it's logging in
3. Verify you are directed to the CommCare home screen once successfully logged in
4. Verify that the session expiration message immediately displays in the phone's notification bar after logging in</t>
        </is>
      </c>
      <c r="D9" s="622" t="n"/>
      <c r="E9" s="622" t="n"/>
      <c r="F9" s="622" t="n"/>
      <c r="I9" s="140" t="inlineStr">
        <is>
          <t>Automatable</t>
        </is>
      </c>
      <c r="J9" s="0" t="inlineStr">
        <is>
          <t>Yes</t>
        </is>
      </c>
      <c r="K9" s="0" t="inlineStr">
        <is>
          <t>flows_non_core/case_list_optimization/cache_index_01_02_sorting_and_filter_sorting.yaml</t>
        </is>
      </c>
    </row>
    <row r="10">
      <c r="A10" s="198" t="inlineStr">
        <is>
          <t>Setup 2</t>
        </is>
      </c>
      <c r="B10" s="198" t="inlineStr">
        <is>
          <t>Load time</t>
        </is>
      </c>
      <c r="C10" s="621" t="inlineStr">
        <is>
          <t>1. Login to the app with user name and password (123/123) .
2. Click on Case list soring -cache and index menu.
3. Click on Followup form.
4. Note down the load time for the case list to load</t>
        </is>
      </c>
      <c r="D10" s="622" t="n"/>
      <c r="E10" s="622" t="n"/>
      <c r="F10" s="622" t="n"/>
      <c r="I10" s="140" t="inlineStr">
        <is>
          <t>Automatable</t>
        </is>
      </c>
      <c r="J10" s="0" t="inlineStr">
        <is>
          <t>Yes</t>
        </is>
      </c>
      <c r="K10" s="0" t="inlineStr">
        <is>
          <t>flows_non_core/case_list_optimization/cache_index_01_02_sorting_and_filter_sorting.yaml</t>
        </is>
      </c>
    </row>
    <row r="11">
      <c r="A11" s="198" t="inlineStr">
        <is>
          <t>Cache and index -1</t>
        </is>
      </c>
      <c r="B11" s="198" t="inlineStr">
        <is>
          <t>Case cache and index feature- sorting</t>
        </is>
      </c>
      <c r="C11" s="621" t="inlineStr">
        <is>
          <t>1. Login to the app with user name and password (123/123) .
2. Click on Case list soring -cache and index menu.
3. Click on Followup form and see that the case list loaded and age column is sorted in ascending order</t>
        </is>
      </c>
      <c r="D11" s="622" t="n"/>
      <c r="E11" s="622" t="n"/>
      <c r="F11" s="622" t="n"/>
      <c r="I11" s="140" t="inlineStr">
        <is>
          <t>Partial</t>
        </is>
      </c>
      <c r="J11" s="0" t="inlineStr">
        <is>
          <t>Yes</t>
        </is>
      </c>
      <c r="K11" s="0" t="inlineStr">
        <is>
          <t>flows_non_core/case_list_optimization/cache_index_01_02_sorting_and_filter_sorting.yaml</t>
        </is>
      </c>
    </row>
    <row r="12">
      <c r="A12" s="198" t="inlineStr">
        <is>
          <t>Cache and index -2</t>
        </is>
      </c>
      <c r="B12" s="198" t="inlineStr">
        <is>
          <t>Case cache and index feature -filtering and sorting</t>
        </is>
      </c>
      <c r="C12" s="621" t="inlineStr">
        <is>
          <t>1. Login to the app with user name and password (123/123) .
2. Click on Case list soring -cache and index menu.
3. Click on Followup form and see that the case list loaded and name column data is sorted in ascending order and only the  cases with rating 5 are displayed on the case list</t>
        </is>
      </c>
      <c r="D12" s="622" t="n"/>
      <c r="E12" s="622" t="n"/>
      <c r="F12" s="622" t="n"/>
      <c r="I12" s="140" t="inlineStr">
        <is>
          <t>Partial</t>
        </is>
      </c>
      <c r="J12" s="0" t="inlineStr">
        <is>
          <t>Yes</t>
        </is>
      </c>
      <c r="K12" s="0" t="inlineStr">
        <is>
          <t>flows_non_core/case_list_optimization/cache_index_01_02_sorting_and_filter_sorting.yaml</t>
        </is>
      </c>
    </row>
    <row r="13">
      <c r="A13" s="622" t="n"/>
      <c r="B13" s="622" t="n"/>
      <c r="C13" s="622" t="n"/>
      <c r="D13" s="622" t="n"/>
      <c r="E13" s="622" t="n"/>
      <c r="F13" s="622" t="n"/>
    </row>
    <row r="14">
      <c r="A14" s="624" t="inlineStr">
        <is>
          <t xml:space="preserve">Case list optimization </t>
        </is>
      </c>
    </row>
    <row r="15">
      <c r="A15" s="198" t="inlineStr">
        <is>
          <t>Setup1</t>
        </is>
      </c>
      <c r="B15" s="198" t="inlineStr">
        <is>
          <t>Login</t>
        </is>
      </c>
      <c r="C15" s="198" t="inlineStr">
        <is>
          <t xml:space="preserve">1. Enter your user name and password and select "Log In"
2. Verify that a message box pops up saying it's logging in
3. Verify you are directed to the CommCare home screen once successfully logged in
4. Verify that the session expiration message immediately displays in the phone's notification bar after logging in.
5. If the data is not present kindly perform import cases from excel and upload the data for respective menus with the respective case types. </t>
        </is>
      </c>
      <c r="D15" s="622" t="n"/>
      <c r="E15" s="622" t="n"/>
      <c r="F15" s="622" t="n"/>
      <c r="I15" s="140" t="inlineStr">
        <is>
          <t>Automatable</t>
        </is>
      </c>
      <c r="J15" s="0" t="inlineStr">
        <is>
          <t>Yes</t>
        </is>
      </c>
      <c r="K15" s="0" t="inlineStr">
        <is>
          <t>flows_non_core/case_list_optimization/load_time_01_optimization_disabled.yaml</t>
        </is>
      </c>
    </row>
    <row r="16">
      <c r="A16" s="198" t="inlineStr">
        <is>
          <t>Load time-1</t>
        </is>
      </c>
      <c r="B16" s="198" t="inlineStr">
        <is>
          <t>optimization disabled</t>
        </is>
      </c>
      <c r="C16" s="621" t="inlineStr">
        <is>
          <t xml:space="preserve">1. Login to the app with user name and password (123/123) .
2. Click on Case list optimization enabled-  cache menu
3. Click on Followup form.
4. Note down the load time for the case list to load   when case list optimization is disabled.
</t>
        </is>
      </c>
      <c r="D16" s="622" t="n"/>
      <c r="E16" s="622" t="n"/>
      <c r="F16" s="622" t="n"/>
      <c r="I16" s="140" t="inlineStr">
        <is>
          <t>Automatable</t>
        </is>
      </c>
      <c r="J16" s="0" t="inlineStr">
        <is>
          <t>Yes</t>
        </is>
      </c>
      <c r="K16" s="0" t="inlineStr">
        <is>
          <t>flows_non_core/case_list_optimization/load_time_01_optimization_disabled.yaml</t>
        </is>
      </c>
    </row>
    <row r="17">
      <c r="A17" s="198" t="inlineStr">
        <is>
          <t>Load time-2</t>
        </is>
      </c>
      <c r="B17" s="198" t="inlineStr">
        <is>
          <t xml:space="preserve">optimize - cache </t>
        </is>
      </c>
      <c r="C17" s="621" t="inlineStr">
        <is>
          <t>1. Login to the app with user name and password (123/123) .
2. Click on Case list optimization enabled-  cache menu
3. Click on Followup form.
4. Note down the load time for the case list to load   when case list optimization enabled - optimize - cache</t>
        </is>
      </c>
      <c r="D17" s="622" t="n"/>
      <c r="E17" s="622" t="n"/>
      <c r="F17" s="622" t="n"/>
      <c r="I17" s="140" t="inlineStr">
        <is>
          <t>Automatable</t>
        </is>
      </c>
      <c r="J17" s="0" t="inlineStr">
        <is>
          <t>Yes</t>
        </is>
      </c>
      <c r="K17" s="0" t="inlineStr">
        <is>
          <t>flows_non_core/case_list_optimization/load_time_02_cache.yaml</t>
        </is>
      </c>
    </row>
    <row r="18">
      <c r="A18" s="198" t="inlineStr">
        <is>
          <t>Load time-3</t>
        </is>
      </c>
      <c r="B18" s="198" t="inlineStr">
        <is>
          <t>Optimize - lazy load</t>
        </is>
      </c>
      <c r="C18" s="621" t="inlineStr">
        <is>
          <t>1. Login to the app with user name and password (123/123) .
2. Click on Case list optimization enabled-  cache menu
3. Click on Followup form.
4. Note down the load time for the case list to load   when case list optimization enabled - optimize - lazy load</t>
        </is>
      </c>
      <c r="D18" s="622" t="n"/>
      <c r="E18" s="622" t="n"/>
      <c r="F18" s="622" t="n"/>
      <c r="I18" s="140" t="inlineStr">
        <is>
          <t>Automatable</t>
        </is>
      </c>
      <c r="J18" s="0" t="inlineStr">
        <is>
          <t>Yes</t>
        </is>
      </c>
      <c r="K18" s="0" t="inlineStr">
        <is>
          <t>flows_non_core/case_list_optimization/load_time_03_lazy_load.yaml</t>
        </is>
      </c>
    </row>
    <row r="19">
      <c r="A19" s="198" t="inlineStr">
        <is>
          <t>Load time-4</t>
        </is>
      </c>
      <c r="B19" s="198" t="inlineStr">
        <is>
          <t>Optimize - cache and lazy load</t>
        </is>
      </c>
      <c r="C19" s="621" t="inlineStr">
        <is>
          <t xml:space="preserve">1. Login to the app with user name and password (123/123) .
2. Click on Case list optimization enabled-  cache menu
3. Click on Followup form.
4. Note down the load time for the case list to load   when case list optimization is disabled.
</t>
        </is>
      </c>
      <c r="D19" s="622" t="n"/>
      <c r="E19" s="622" t="n"/>
      <c r="F19" s="622" t="n"/>
      <c r="I19" s="140" t="inlineStr">
        <is>
          <t>Automatable</t>
        </is>
      </c>
      <c r="J19" s="0" t="inlineStr">
        <is>
          <t>Yes</t>
        </is>
      </c>
      <c r="K19" s="0" t="inlineStr">
        <is>
          <t>flows_non_core/case_list_optimization/load_time_04_cache_and_lazy_load.yaml</t>
        </is>
      </c>
    </row>
    <row r="20">
      <c r="A20" s="198" t="inlineStr">
        <is>
          <t>Load time-5</t>
        </is>
      </c>
      <c r="B20" s="198" t="inlineStr">
        <is>
          <t>Optimize - Combination of all</t>
        </is>
      </c>
      <c r="C20" s="621" t="inlineStr">
        <is>
          <t xml:space="preserve">1. Login to the app with user name and password (123/123) .
2. Click on Case list optimization enabled-  cache menu
3. Click on Followup form.
4. Note down the load time for the case list to load   when case list optimization is disabled.
</t>
        </is>
      </c>
      <c r="D20" s="622" t="n"/>
      <c r="E20" s="622" t="n"/>
      <c r="F20" s="622" t="n"/>
      <c r="I20" s="140" t="inlineStr">
        <is>
          <t>Automatable</t>
        </is>
      </c>
      <c r="J20" s="0" t="inlineStr">
        <is>
          <t>Yes</t>
        </is>
      </c>
      <c r="K20" s="0" t="inlineStr">
        <is>
          <t>flows_non_core/case_list_optimization/load_time_05_all_mix.yaml</t>
        </is>
      </c>
    </row>
    <row r="21">
      <c r="A21" s="198" t="inlineStr">
        <is>
          <t>Load time-6</t>
        </is>
      </c>
      <c r="B21" s="198" t="inlineStr">
        <is>
          <t>Load time when user clears app data</t>
        </is>
      </c>
      <c r="C21" s="626" t="inlineStr">
        <is>
          <t>1. Login to the  app  with user name and password (123/123) .
2. Click on Case list optimization enabled-  ALL Mix menu
3. Click on Followup form.
4. Note down the time to load the case list when user clears the app data.</t>
        </is>
      </c>
      <c r="D21" s="622" t="n"/>
      <c r="E21" s="622" t="n"/>
      <c r="F21" s="622" t="n"/>
      <c r="I21" s="140" t="inlineStr">
        <is>
          <t>Automatable</t>
        </is>
      </c>
      <c r="J21" s="0" t="inlineStr">
        <is>
          <t>Yes</t>
        </is>
      </c>
      <c r="K21" s="0" t="inlineStr">
        <is>
          <t>flows_non_core/case_list_optimization/load_time_06_after_clear_app_data.yaml</t>
        </is>
      </c>
    </row>
    <row r="22">
      <c r="A22" s="198" t="inlineStr">
        <is>
          <t>Load time-7</t>
        </is>
      </c>
      <c r="B22" s="198" t="inlineStr">
        <is>
          <t>Load time when user kills /force stops the app</t>
        </is>
      </c>
      <c r="C22" s="627" t="inlineStr">
        <is>
          <t xml:space="preserve">1. Login to the  app  with user name and password (123/123) .
2. Click on Case list optimization enabled-  ALL Mix menu
3. Click on Followup form.
4.Check how much time the case list takes to load, when user kills/force stops the app </t>
        </is>
      </c>
      <c r="D22" s="622" t="n"/>
      <c r="E22" s="622" t="n"/>
      <c r="F22" s="622" t="n"/>
      <c r="I22" s="140" t="inlineStr">
        <is>
          <t>Automatable</t>
        </is>
      </c>
      <c r="J22" s="0" t="inlineStr">
        <is>
          <t>Yes</t>
        </is>
      </c>
      <c r="K22" s="0" t="inlineStr">
        <is>
          <t>flows_non_core/case_list_optimization/load_time_07_after_force_stop.yaml</t>
        </is>
      </c>
    </row>
    <row r="23">
      <c r="A23" s="198" t="inlineStr">
        <is>
          <t>Load time-8</t>
        </is>
      </c>
      <c r="B23" s="198" t="inlineStr">
        <is>
          <t>Load time when user log in to the app for 2nd time</t>
        </is>
      </c>
      <c r="C23" s="627" t="inlineStr">
        <is>
          <t xml:space="preserve">1. Login to the  app  with user name and password (123/123)  for second time.
2. Click on Case list optimization enabled all the menus .
3. Click on Followup form.
4. Note down the time taken for the case list takes for the second time, if user logs in and logs out or syncs again </t>
        </is>
      </c>
      <c r="D23" s="622" t="n"/>
      <c r="E23" s="622" t="n"/>
      <c r="F23" s="622" t="n"/>
      <c r="I23" s="140" t="inlineStr">
        <is>
          <t>Automatable</t>
        </is>
      </c>
      <c r="J23" s="0" t="inlineStr">
        <is>
          <t>Yes</t>
        </is>
      </c>
      <c r="K23" s="0" t="inlineStr">
        <is>
          <t>flows_non_core/case_list_optimization/load_time_08_second_login.yaml</t>
        </is>
      </c>
    </row>
    <row r="24">
      <c r="A24" s="622" t="inlineStr">
        <is>
          <t>Exploratory testing</t>
        </is>
      </c>
      <c r="B24" s="500" t="inlineStr">
        <is>
          <t>Exploratory testing.</t>
        </is>
      </c>
      <c r="C24" s="500" t="inlineStr">
        <is>
          <t>1. Login to the app and open all the menus followup form randomly and see the case list loads fine and able to  see no lag on the application</t>
        </is>
      </c>
      <c r="D24" s="622" t="n"/>
      <c r="E24" s="622" t="n"/>
      <c r="F24" s="622" t="n"/>
      <c r="I24" s="140" t="inlineStr">
        <is>
          <t>Not automatable</t>
        </is>
      </c>
      <c r="J24" s="0" t="inlineStr">
        <is>
          <t>N/A</t>
        </is>
      </c>
      <c r="K24" s="0" t="n"/>
    </row>
  </sheetData>
  <mergeCells count="7">
    <mergeCell ref="B6:C6"/>
    <mergeCell ref="B2:C2"/>
    <mergeCell ref="A14:F14"/>
    <mergeCell ref="B3:C3"/>
    <mergeCell ref="B5:C5"/>
    <mergeCell ref="B1:C1"/>
    <mergeCell ref="B4:C4"/>
  </mergeCells>
  <dataValidations count="1">
    <dataValidation sqref="D9:D12 D15:D24" showDropDown="0" showInputMessage="0" showErrorMessage="1" allowBlank="1" type="list">
      <formula1>"Pass,Fail,N/A,Blocking"</formula1>
    </dataValidation>
  </dataValidations>
  <hyperlinks>
    <hyperlink xmlns:r="http://schemas.openxmlformats.org/officeDocument/2006/relationships" ref="B3" r:id="rId1"/>
    <hyperlink xmlns:r="http://schemas.openxmlformats.org/officeDocument/2006/relationships" ref="C10" r:id="rId2"/>
    <hyperlink xmlns:r="http://schemas.openxmlformats.org/officeDocument/2006/relationships" ref="C11" r:id="rId3"/>
    <hyperlink xmlns:r="http://schemas.openxmlformats.org/officeDocument/2006/relationships" ref="C12"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C19" r:id="rId8"/>
    <hyperlink xmlns:r="http://schemas.openxmlformats.org/officeDocument/2006/relationships" ref="C20" r:id="rId9"/>
    <hyperlink xmlns:r="http://schemas.openxmlformats.org/officeDocument/2006/relationships" ref="C21" r:id="rId10"/>
  </hyperlink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K48"/>
  <sheetViews>
    <sheetView workbookViewId="0">
      <selection activeCell="A1" sqref="A1"/>
    </sheetView>
  </sheetViews>
  <sheetFormatPr baseColWidth="8" defaultColWidth="17.29" defaultRowHeight="15" customHeight="1"/>
  <cols>
    <col width="48.71" customWidth="1" style="629" min="2" max="2"/>
    <col hidden="1" width="75.29000000000001" customWidth="1" style="629" min="3" max="3"/>
    <col width="61" customWidth="1" style="629" min="4" max="4"/>
    <col width="21.14" customWidth="1" style="629" min="5" max="7"/>
    <col width="18" customWidth="1" style="629" min="9" max="9"/>
    <col width="13" customWidth="1" style="629" min="10" max="10"/>
    <col width="60" customWidth="1" style="629" min="11" max="11"/>
  </cols>
  <sheetData>
    <row r="1">
      <c r="A1" s="594" t="inlineStr">
        <is>
          <t>Test Case ID</t>
        </is>
      </c>
      <c r="B1" s="599" t="inlineStr">
        <is>
          <t>Description</t>
        </is>
      </c>
      <c r="C1" s="599" t="inlineStr">
        <is>
          <t>Steps</t>
        </is>
      </c>
      <c r="D1" s="599" t="inlineStr">
        <is>
          <t>Outcome</t>
        </is>
      </c>
      <c r="E1" s="594" t="inlineStr">
        <is>
          <t>Status (Pass/Fail)</t>
        </is>
      </c>
      <c r="F1" s="599" t="inlineStr">
        <is>
          <t>Ticket/ Bug</t>
        </is>
      </c>
      <c r="G1" s="599" t="inlineStr">
        <is>
          <t>Comments</t>
        </is>
      </c>
      <c r="I1" s="140" t="inlineStr">
        <is>
          <t>Maestro Automatability</t>
        </is>
      </c>
      <c r="J1" s="0" t="inlineStr">
        <is>
          <t>Automated?</t>
        </is>
      </c>
      <c r="K1" s="0" t="inlineStr">
        <is>
          <t>Flow File</t>
        </is>
      </c>
    </row>
    <row r="2">
      <c r="A2" s="603" t="inlineStr">
        <is>
          <t>TC_01</t>
        </is>
      </c>
      <c r="B2" s="605" t="inlineStr">
        <is>
          <t>Confirm an existing user is able to sign in and is able to continue to work</t>
        </is>
      </c>
      <c r="C2" s="617" t="n"/>
      <c r="D2" s="607" t="inlineStr">
        <is>
          <t>Exisiting user should be able to sign in and continue to workl</t>
        </is>
      </c>
      <c r="E2" s="608" t="n"/>
      <c r="F2" s="609" t="n"/>
      <c r="G2" s="609" t="n"/>
      <c r="I2" s="140" t="inlineStr">
        <is>
          <t>Not automatable</t>
        </is>
      </c>
      <c r="J2" s="0" t="inlineStr">
        <is>
          <t>N/A</t>
        </is>
      </c>
      <c r="K2" s="0" t="inlineStr">
        <is>
          <t>(needs an SMS OTP - no test number receives one, confirmed 2026-10-23)</t>
        </is>
      </c>
    </row>
    <row r="3">
      <c r="A3" s="603" t="inlineStr">
        <is>
          <t>TC_02</t>
        </is>
      </c>
      <c r="B3" s="605" t="inlineStr">
        <is>
          <t>Verify when user updates to the latest beta app, the user remains signed in</t>
        </is>
      </c>
      <c r="C3" s="617" t="n"/>
      <c r="D3" s="607" t="inlineStr">
        <is>
          <t>- Already signed in user should remain signed in on updating to the latest version
- The user shouldn't lose any information or progress for any of the opportunity</t>
        </is>
      </c>
      <c r="E3" s="608" t="n"/>
      <c r="F3" s="609" t="n"/>
      <c r="G3" s="609" t="n"/>
      <c r="I3" s="140" t="inlineStr">
        <is>
          <t>Not automatable</t>
        </is>
      </c>
      <c r="J3" s="0" t="inlineStr">
        <is>
          <t>N/A</t>
        </is>
      </c>
      <c r="K3" s="0" t="inlineStr">
        <is>
          <t>(needs an SMS OTP - no test number receives one, confirmed 2026-10-23)</t>
        </is>
      </c>
    </row>
    <row r="4">
      <c r="A4" s="603" t="inlineStr">
        <is>
          <t>TC_03</t>
        </is>
      </c>
      <c r="B4" s="617" t="inlineStr">
        <is>
          <t>Verify user can logout of Personal ID and re-authenitcate themselves</t>
        </is>
      </c>
      <c r="C4" s="617" t="n"/>
      <c r="D4" s="607" t="inlineStr">
        <is>
          <t xml:space="preserve">User should be able to resume work after sign-ing in again </t>
        </is>
      </c>
      <c r="E4" s="608" t="n"/>
      <c r="F4" s="609" t="n"/>
      <c r="G4" s="616" t="n"/>
      <c r="I4" s="140" t="inlineStr">
        <is>
          <t>Not automatable</t>
        </is>
      </c>
      <c r="J4" s="0" t="inlineStr">
        <is>
          <t>N/A</t>
        </is>
      </c>
      <c r="K4" s="0" t="inlineStr">
        <is>
          <t>(needs an SMS OTP - no test number receives one, confirmed 2026-10-23)</t>
        </is>
      </c>
    </row>
    <row r="5">
      <c r="A5" s="603" t="inlineStr">
        <is>
          <t>TC_04</t>
        </is>
      </c>
      <c r="B5" s="617" t="inlineStr">
        <is>
          <t>Confirm user sees sign up for "Personal ID" option when they click on the three dots menu</t>
        </is>
      </c>
      <c r="C5" s="617" t="n"/>
      <c r="D5" s="607" t="inlineStr">
        <is>
          <t>User should see the option "Sign up for Personal ID" when they click on the three dots menu</t>
        </is>
      </c>
      <c r="E5" s="608" t="n"/>
      <c r="F5" s="616" t="n"/>
      <c r="G5" s="616" t="n"/>
      <c r="I5" s="140" t="inlineStr">
        <is>
          <t>Automatable</t>
        </is>
      </c>
      <c r="J5" s="0" t="inlineStr">
        <is>
          <t>Yes</t>
        </is>
      </c>
      <c r="K5" s="0" t="inlineStr">
        <is>
          <t>flows_non_core/personal_id/tc_04_sign_up_menu_option.yaml</t>
        </is>
      </c>
    </row>
    <row r="6">
      <c r="A6" s="603" t="inlineStr">
        <is>
          <t>TC_05</t>
        </is>
      </c>
      <c r="B6" s="617" t="inlineStr">
        <is>
          <t>Verify on clicking the "Sign up Personal ID" option, user is redirected to the Start Page</t>
        </is>
      </c>
      <c r="C6" s="617" t="n"/>
      <c r="D6" s="617" t="inlineStr">
        <is>
          <t xml:space="preserve">User should be taken to the Start page and see the following changes on the page:
- Name of the page should be "Get Started with PersonalID"
- User should only see one field to enter the phone number 
- The field name should be "Enter your Phone Number"
- User should see a continue button as well
- User should also see a T&amp;Cs checkbox </t>
        </is>
      </c>
      <c r="E6" s="618" t="n"/>
      <c r="F6" s="616" t="n"/>
      <c r="G6" s="616" t="n"/>
      <c r="I6" s="140" t="inlineStr">
        <is>
          <t>Not automatable</t>
        </is>
      </c>
      <c r="J6" s="0" t="inlineStr">
        <is>
          <t>N/A</t>
        </is>
      </c>
      <c r="K6" s="0" t="n"/>
    </row>
    <row r="7">
      <c r="A7" s="603" t="inlineStr">
        <is>
          <t>TC_06</t>
        </is>
      </c>
      <c r="B7" s="617" t="inlineStr">
        <is>
          <t xml:space="preserve">Verify validations for the phone number field </t>
        </is>
      </c>
      <c r="C7" s="617" t="n"/>
      <c r="D7" s="617" t="inlineStr">
        <is>
          <t>- User should see the country code auto-filled when they land on the start page 
- User should be able to enter any digits into the field 
- User shold not be able to continue without entering a valid mobile number
- The button should remain disabled if the number of digits entered for the phone number is less than the required digits for that country’s format (e.g., for an Indian number, the user must enter 10 digits).</t>
        </is>
      </c>
      <c r="E7" s="618" t="n"/>
      <c r="F7" s="616" t="n"/>
      <c r="G7" s="616" t="n"/>
      <c r="I7" s="140" t="inlineStr">
        <is>
          <t>Not automatable</t>
        </is>
      </c>
      <c r="J7" s="0" t="inlineStr">
        <is>
          <t>N/A</t>
        </is>
      </c>
      <c r="K7" s="0" t="n"/>
    </row>
    <row r="8">
      <c r="A8" s="603" t="inlineStr">
        <is>
          <t>TC_07</t>
        </is>
      </c>
      <c r="B8" s="617" t="inlineStr">
        <is>
          <t>Confirm on clicking the continue button, user is taken to the Android Device Authentication page</t>
        </is>
      </c>
      <c r="C8" s="617" t="n"/>
      <c r="D8" s="617" t="inlineStr">
        <is>
          <t>- User should be asked to verify themselves by using PIN/Pattern or biometrics that they have configured for their android device</t>
        </is>
      </c>
      <c r="E8" s="618" t="n"/>
      <c r="F8" s="616" t="n"/>
      <c r="G8" s="616" t="n"/>
      <c r="I8" s="140" t="inlineStr">
        <is>
          <t>Not automatable</t>
        </is>
      </c>
      <c r="J8" s="0" t="inlineStr">
        <is>
          <t>N/A</t>
        </is>
      </c>
      <c r="K8" s="0" t="n"/>
    </row>
    <row r="9">
      <c r="A9" s="603" t="inlineStr">
        <is>
          <t>TC_08</t>
        </is>
      </c>
      <c r="B9" s="617" t="inlineStr">
        <is>
          <t xml:space="preserve">Verify that user is taken to device settings, to configure authentication when there's no device authentication configured </t>
        </is>
      </c>
      <c r="C9" s="617" t="n"/>
      <c r="D9" s="617" t="inlineStr">
        <is>
          <t>- User should be taken to the settings to configure fingerprints on the device
- User should see the option "Configure Fingerprint"  on the screen when there's no biometrics configured on the device</t>
        </is>
      </c>
      <c r="E9" s="618" t="n"/>
      <c r="F9" s="616" t="n"/>
      <c r="G9" s="616" t="n"/>
      <c r="I9" s="140" t="inlineStr">
        <is>
          <t>Not automatable</t>
        </is>
      </c>
      <c r="J9" s="0" t="inlineStr">
        <is>
          <t>N/A</t>
        </is>
      </c>
      <c r="K9" s="0" t="n"/>
    </row>
    <row r="10">
      <c r="A10" s="603" t="inlineStr">
        <is>
          <t>TC_09</t>
        </is>
      </c>
      <c r="B10" s="617" t="inlineStr">
        <is>
          <t xml:space="preserve">Verify on authenticating the android device successfully, user is taken to the OTP page </t>
        </is>
      </c>
      <c r="C10" s="617" t="n"/>
      <c r="D10" s="617" t="inlineStr">
        <is>
          <t xml:space="preserve">- User should be redirected to the OTP screen once they have successfully authenticated the android device </t>
        </is>
      </c>
      <c r="E10" s="618" t="n"/>
      <c r="F10" s="616" t="n"/>
      <c r="G10" s="616" t="n"/>
      <c r="I10" s="140" t="inlineStr">
        <is>
          <t>Not automatable</t>
        </is>
      </c>
      <c r="J10" s="0" t="inlineStr">
        <is>
          <t>N/A</t>
        </is>
      </c>
      <c r="K10" s="0" t="n"/>
    </row>
    <row r="11">
      <c r="A11" s="603" t="inlineStr">
        <is>
          <t>TC_10</t>
        </is>
      </c>
      <c r="B11" s="617" t="inlineStr">
        <is>
          <t>Confirm when user lands on the OTP page, they receive an OTP on the mobile number they entered on the Start page</t>
        </is>
      </c>
      <c r="C11" s="617" t="n"/>
      <c r="D11" s="617" t="inlineStr">
        <is>
          <t xml:space="preserve">- User should recieve an OTP on the mobile number they entered when they land on the OTP page
- Verify and Resend button should remain greyed out </t>
        </is>
      </c>
      <c r="E11" s="618" t="n"/>
      <c r="F11" s="616" t="n"/>
      <c r="G11" s="616" t="n"/>
      <c r="I11" s="140" t="inlineStr">
        <is>
          <t>Not automatable</t>
        </is>
      </c>
      <c r="J11" s="0" t="inlineStr">
        <is>
          <t>N/A</t>
        </is>
      </c>
      <c r="K11" s="0" t="n"/>
    </row>
    <row r="12">
      <c r="A12" s="603" t="inlineStr">
        <is>
          <t>TC_11</t>
        </is>
      </c>
      <c r="B12" s="617" t="inlineStr">
        <is>
          <t>Confirm user is able to resen code after 120 seconds only</t>
        </is>
      </c>
      <c r="C12" s="617" t="n"/>
      <c r="D12" s="617" t="inlineStr">
        <is>
          <t>- User should only be able to click on the Resend button after the 120 secs have passed 
- They should receive the same OTP again when they click on the resend code button
- The button should get disabled again after user have pressed it</t>
        </is>
      </c>
      <c r="E12" s="618" t="n"/>
      <c r="F12" s="618" t="n"/>
      <c r="G12" s="616" t="n"/>
      <c r="I12" s="140" t="inlineStr">
        <is>
          <t>Not automatable</t>
        </is>
      </c>
      <c r="J12" s="0" t="inlineStr">
        <is>
          <t>N/A</t>
        </is>
      </c>
      <c r="K12" s="0" t="n"/>
    </row>
    <row r="13">
      <c r="A13" s="603" t="inlineStr">
        <is>
          <t>TC_12</t>
        </is>
      </c>
      <c r="B13" s="617" t="inlineStr">
        <is>
          <t>Confirm that the verify button gets enabled when user enter the OTP code</t>
        </is>
      </c>
      <c r="C13" s="617" t="n"/>
      <c r="D13" s="617" t="inlineStr">
        <is>
          <t xml:space="preserve">- Verify button should get enabled when user enters a code in the OTP field 
- Button shouold get enabled even if the OTP entered is wrong </t>
        </is>
      </c>
      <c r="E13" s="618" t="n"/>
      <c r="F13" s="618" t="n"/>
      <c r="G13" s="616" t="n"/>
      <c r="I13" s="140" t="inlineStr">
        <is>
          <t>Not automatable</t>
        </is>
      </c>
      <c r="J13" s="0" t="inlineStr">
        <is>
          <t>N/A</t>
        </is>
      </c>
      <c r="K13" s="0" t="n"/>
    </row>
    <row r="14">
      <c r="A14" s="603" t="inlineStr">
        <is>
          <t>TC_13</t>
        </is>
      </c>
      <c r="B14" s="617" t="inlineStr">
        <is>
          <t>Verify user cannot verify the phone by entering the wrong OTP</t>
        </is>
      </c>
      <c r="C14" s="617" t="n"/>
      <c r="D14" s="617" t="inlineStr">
        <is>
          <t xml:space="preserve">- User should see an error message if they enter the wrong OTP and click on verify button </t>
        </is>
      </c>
      <c r="E14" s="618" t="n"/>
      <c r="F14" s="616" t="n"/>
      <c r="G14" s="616" t="n"/>
      <c r="I14" s="140" t="inlineStr">
        <is>
          <t>Not automatable</t>
        </is>
      </c>
      <c r="J14" s="0" t="inlineStr">
        <is>
          <t>N/A</t>
        </is>
      </c>
      <c r="K14" s="0" t="n"/>
    </row>
    <row r="15">
      <c r="A15" s="603" t="inlineStr">
        <is>
          <t>TC_14</t>
        </is>
      </c>
      <c r="B15" s="617" t="inlineStr">
        <is>
          <t xml:space="preserve">Confirm that user is able to enter and delete any digit in the OTP fields </t>
        </is>
      </c>
      <c r="C15" s="617" t="n"/>
      <c r="D15" s="617" t="inlineStr">
        <is>
          <t xml:space="preserve">- User should be able to enter any digits in the OTP fields without any issue 
- User should also be able to delete any digit in the OTP fields and the cursor should move back to the previous field </t>
        </is>
      </c>
      <c r="E15" s="618" t="n"/>
      <c r="F15" s="616" t="n"/>
      <c r="G15" s="616" t="n"/>
      <c r="I15" s="140" t="inlineStr">
        <is>
          <t>Not automatable</t>
        </is>
      </c>
      <c r="J15" s="0" t="inlineStr">
        <is>
          <t>N/A</t>
        </is>
      </c>
      <c r="K15" s="0" t="n"/>
    </row>
    <row r="16">
      <c r="A16" s="603" t="inlineStr">
        <is>
          <t>TC_15</t>
        </is>
      </c>
      <c r="B16" s="617" t="inlineStr">
        <is>
          <t xml:space="preserve">Verify on successfully verifying the OTP, user is taken to the Name page </t>
        </is>
      </c>
      <c r="C16" s="617" t="n"/>
      <c r="D16" s="617" t="inlineStr">
        <is>
          <t>- User should be redirected to the Name page on entering the correct OTP</t>
        </is>
      </c>
      <c r="E16" s="618" t="n"/>
      <c r="F16" s="616" t="n"/>
      <c r="G16" s="616" t="n"/>
      <c r="I16" s="140" t="inlineStr">
        <is>
          <t>Not automatable</t>
        </is>
      </c>
      <c r="J16" s="0" t="inlineStr">
        <is>
          <t>N/A</t>
        </is>
      </c>
      <c r="K16" s="0" t="n"/>
    </row>
    <row r="17">
      <c r="A17" s="603" t="inlineStr">
        <is>
          <t>TC_16</t>
        </is>
      </c>
      <c r="B17" s="617" t="inlineStr">
        <is>
          <t>Confirm user can change the phone number by clicking the 'change' option</t>
        </is>
      </c>
      <c r="C17" s="617" t="n"/>
      <c r="D17" s="617" t="inlineStr">
        <is>
          <t xml:space="preserve">- User should be redirected back to the Start page if they click on the change option 
- User should be able to edit the phone number and restart the sign up process again </t>
        </is>
      </c>
      <c r="E17" s="618" t="n"/>
      <c r="F17" s="616" t="n"/>
      <c r="G17" s="616" t="n"/>
      <c r="I17" s="140" t="inlineStr">
        <is>
          <t>Not automatable</t>
        </is>
      </c>
      <c r="J17" s="0" t="inlineStr">
        <is>
          <t>N/A</t>
        </is>
      </c>
      <c r="K17" s="0" t="n"/>
    </row>
    <row r="18">
      <c r="A18" s="603" t="inlineStr">
        <is>
          <t>TC_17</t>
        </is>
      </c>
      <c r="B18" s="617" t="inlineStr">
        <is>
          <t>Confirm user sees the page title and name field on the Name page</t>
        </is>
      </c>
      <c r="C18" s="617" t="n"/>
      <c r="D18" s="617" t="inlineStr">
        <is>
          <t>- User should see the subtitle heading on the page "Please enter your name as it appears on your government-issued identification"
- User should also see a Name field and a continue button on the screen</t>
        </is>
      </c>
      <c r="E18" s="618" t="n"/>
      <c r="F18" s="616" t="n"/>
      <c r="G18" s="616" t="n"/>
      <c r="I18" s="140" t="inlineStr">
        <is>
          <t>Not automatable</t>
        </is>
      </c>
      <c r="J18" s="0" t="inlineStr">
        <is>
          <t>N/A</t>
        </is>
      </c>
      <c r="K18" s="0" t="n"/>
    </row>
    <row r="19">
      <c r="A19" s="603" t="inlineStr">
        <is>
          <t>TC_18</t>
        </is>
      </c>
      <c r="B19" s="617" t="inlineStr">
        <is>
          <t xml:space="preserve">Confirm users name is verified agains the DB for potential duplicate account </t>
        </is>
      </c>
      <c r="C19" s="617" t="n"/>
      <c r="D19" s="617" t="inlineStr">
        <is>
          <t>- After the user selects “Continue” the system will be validating this name against a fuzzy match of possible names in the DB to suggest possible duplicates. 
- From here the flow will branch depending upon if this is a new or returning user</t>
        </is>
      </c>
      <c r="E19" s="618" t="n"/>
      <c r="F19" s="616" t="n"/>
      <c r="G19" s="616" t="n"/>
      <c r="I19" s="140" t="inlineStr">
        <is>
          <t>Not automatable</t>
        </is>
      </c>
      <c r="J19" s="0" t="inlineStr">
        <is>
          <t>N/A</t>
        </is>
      </c>
      <c r="K19" s="0" t="n"/>
    </row>
    <row r="20">
      <c r="A20" s="603" t="inlineStr">
        <is>
          <t>TC_19</t>
        </is>
      </c>
      <c r="B20" s="617" t="inlineStr">
        <is>
          <t xml:space="preserve">Confirm user lands on the "Backup Code" screen after entering the name </t>
        </is>
      </c>
      <c r="C20" s="617" t="n"/>
      <c r="D20" s="617" t="inlineStr">
        <is>
          <t xml:space="preserve">- User should land on the "Backup Code" page/screen 
- Here, Dimagi logo should've been updated by CommCare logo 
- User should see two fields to setup backup code and continue button </t>
        </is>
      </c>
      <c r="E20" s="618" t="n"/>
      <c r="F20" s="616" t="n"/>
      <c r="G20" s="616" t="n"/>
      <c r="I20" s="140" t="inlineStr">
        <is>
          <t>Not automatable</t>
        </is>
      </c>
      <c r="J20" s="0" t="inlineStr">
        <is>
          <t>N/A</t>
        </is>
      </c>
      <c r="K20" s="0" t="n"/>
    </row>
    <row r="21">
      <c r="A21" s="603" t="inlineStr">
        <is>
          <t>TC_20</t>
        </is>
      </c>
      <c r="B21" s="617" t="inlineStr">
        <is>
          <t xml:space="preserve">Verify user can setup a backup code and conitnue forward </t>
        </is>
      </c>
      <c r="C21" s="617" t="n"/>
      <c r="D21" s="617" t="inlineStr">
        <is>
          <t xml:space="preserve">- User should be able to setup a new bacup code by entering the same code in both the fields 
i) Code 
ii) Confirm Code 
- User should be be navigated to the 'Photo' page on clicking continue </t>
        </is>
      </c>
      <c r="E21" s="618" t="n"/>
      <c r="F21" s="616" t="n"/>
      <c r="G21" s="616" t="n"/>
      <c r="I21" s="140" t="inlineStr">
        <is>
          <t>Not automatable</t>
        </is>
      </c>
      <c r="J21" s="0" t="inlineStr">
        <is>
          <t>N/A</t>
        </is>
      </c>
      <c r="K21" s="0" t="n"/>
    </row>
    <row r="22">
      <c r="A22" s="603" t="inlineStr">
        <is>
          <t>TC_21</t>
        </is>
      </c>
      <c r="B22" s="617" t="inlineStr">
        <is>
          <t>Ensure user can only continue if they enter the same code in the two input boxes</t>
        </is>
      </c>
      <c r="C22" s="617" t="n"/>
      <c r="D22" s="617" t="inlineStr">
        <is>
          <t xml:space="preserve">- User should see an error message, when the code in the two input fields do not match 
- User should not be able to continue to next page </t>
        </is>
      </c>
      <c r="E22" s="618" t="n"/>
      <c r="F22" s="616" t="n"/>
      <c r="G22" s="616" t="n"/>
      <c r="I22" s="140" t="inlineStr">
        <is>
          <t>Not automatable</t>
        </is>
      </c>
      <c r="J22" s="0" t="inlineStr">
        <is>
          <t>N/A</t>
        </is>
      </c>
      <c r="K22" s="0" t="n"/>
    </row>
    <row r="23">
      <c r="A23" s="603" t="inlineStr">
        <is>
          <t>TC_22</t>
        </is>
      </c>
      <c r="B23" s="617" t="inlineStr">
        <is>
          <t>Verify user can see the code they have entered by clicking the eye icon</t>
        </is>
      </c>
      <c r="C23" s="617" t="n"/>
      <c r="D23" s="617" t="inlineStr">
        <is>
          <t xml:space="preserve">- On clicking the eye icon on the two fields, the backup code should get revealed to the user
- They should be able to undo it by clicking the icon again </t>
        </is>
      </c>
      <c r="E23" s="618" t="n"/>
      <c r="F23" s="616" t="n"/>
      <c r="G23" s="616" t="n"/>
      <c r="I23" s="140" t="inlineStr">
        <is>
          <t>Not automatable</t>
        </is>
      </c>
      <c r="J23" s="0" t="inlineStr">
        <is>
          <t>N/A</t>
        </is>
      </c>
      <c r="K23" s="0" t="n"/>
    </row>
    <row r="24">
      <c r="A24" s="603" t="inlineStr">
        <is>
          <t>TC_23</t>
        </is>
      </c>
      <c r="B24" s="617" t="inlineStr">
        <is>
          <t>Confirm user is taken to the "Take Photo" page after they have configured the backup code</t>
        </is>
      </c>
      <c r="C24" s="617" t="n"/>
      <c r="D24" s="617" t="inlineStr">
        <is>
          <t xml:space="preserve">- User should see the commcare logo on the screen instead of Dimagi logo 
- User should see 'Welcome xyz" and "Please take a photo of yourself to complete your account setup" with a profile icon on the page 
- User should also see two buttons Take Photo (enabled) and Save Photo (disabled) </t>
        </is>
      </c>
      <c r="E24" s="618" t="n"/>
      <c r="F24" s="616" t="n"/>
      <c r="G24" s="616" t="n"/>
      <c r="I24" s="140" t="inlineStr">
        <is>
          <t>Not automatable</t>
        </is>
      </c>
      <c r="J24" s="0" t="inlineStr">
        <is>
          <t>N/A</t>
        </is>
      </c>
      <c r="K24" s="0" t="n"/>
    </row>
    <row r="25">
      <c r="A25" s="603" t="inlineStr">
        <is>
          <t>TC_24</t>
        </is>
      </c>
      <c r="B25" s="617" t="inlineStr">
        <is>
          <t>Confirm that user can take a photo by clicking take photo option</t>
        </is>
      </c>
      <c r="C25" s="617" t="n"/>
      <c r="D25" s="617" t="inlineStr">
        <is>
          <t>- Front camera should open when, user clicks on "Take Photo" option
- User should be able to click a selfie when the camera opens. (It should auto capture as there is no click button)
- User should see the clicked picture on the screen and 'Save button' should get enabled</t>
        </is>
      </c>
      <c r="E25" s="618" t="n"/>
      <c r="F25" s="616" t="n"/>
      <c r="G25" s="616" t="n"/>
      <c r="I25" s="140" t="inlineStr">
        <is>
          <t>Not automatable</t>
        </is>
      </c>
      <c r="J25" s="0" t="inlineStr">
        <is>
          <t>N/A</t>
        </is>
      </c>
      <c r="K25" s="0" t="n"/>
    </row>
    <row r="26">
      <c r="A26" s="603" t="inlineStr">
        <is>
          <t>TC_25</t>
        </is>
      </c>
      <c r="B26" s="617" t="inlineStr">
        <is>
          <t xml:space="preserve">Confrm user can replace the photo they saved </t>
        </is>
      </c>
      <c r="C26" s="617" t="n"/>
      <c r="D26" s="617" t="inlineStr">
        <is>
          <t>- User should be able to replace the photo by taking a new photo
- The picutre should get updated by the new one on the 'Capture Photo' screen</t>
        </is>
      </c>
      <c r="E26" s="618" t="n"/>
      <c r="F26" s="616" t="n"/>
      <c r="G26" s="616" t="n"/>
      <c r="I26" s="140" t="inlineStr">
        <is>
          <t>Not automatable</t>
        </is>
      </c>
      <c r="J26" s="0" t="inlineStr">
        <is>
          <t>N/A</t>
        </is>
      </c>
      <c r="K26" s="0" t="n"/>
    </row>
    <row r="27">
      <c r="A27" s="603" t="inlineStr">
        <is>
          <t>TC_26</t>
        </is>
      </c>
      <c r="B27" s="617" t="inlineStr">
        <is>
          <t xml:space="preserve">Confirm user can save the picture and the account is created </t>
        </is>
      </c>
      <c r="C27" s="617" t="n"/>
      <c r="D27" s="617" t="inlineStr">
        <is>
          <t xml:space="preserve">- On cicking the save photo option, the account should get created 
- User should see a pop-up message, that account created successfully
- User should be taken to the either the CommCare HQ mobile app or Connect homescreen on clicking OK on the pop-up </t>
        </is>
      </c>
      <c r="E27" s="618" t="n"/>
      <c r="F27" s="616" t="n"/>
      <c r="G27" s="616" t="n"/>
      <c r="I27" s="140" t="inlineStr">
        <is>
          <t>Not automatable</t>
        </is>
      </c>
      <c r="J27" s="0" t="inlineStr">
        <is>
          <t>N/A</t>
        </is>
      </c>
      <c r="K27" s="0" t="n"/>
    </row>
    <row r="28">
      <c r="A28" s="603" t="inlineStr">
        <is>
          <t>TC_27</t>
        </is>
      </c>
      <c r="B28" s="617" t="inlineStr">
        <is>
          <t>Verify user sees a pop-up on successful account creation</t>
        </is>
      </c>
      <c r="C28" s="617" t="n"/>
      <c r="D28" s="617" t="inlineStr">
        <is>
          <t>- User should see 'Account Created' pop-up on the screen on saving the photo with the text "Your Personal ID account has been successfully created and is now ready for you to use!"
- User should be redirected to CommCare HQ mobile app and do not see "Go to Connect Menu" option</t>
        </is>
      </c>
      <c r="E28" s="618" t="n"/>
      <c r="F28" s="616" t="n"/>
      <c r="G28" s="616" t="n"/>
      <c r="I28" s="140" t="inlineStr">
        <is>
          <t>Not automatable</t>
        </is>
      </c>
      <c r="J28" s="0" t="inlineStr">
        <is>
          <t>N/A</t>
        </is>
      </c>
      <c r="K28" s="0" t="n"/>
    </row>
    <row r="29">
      <c r="A29" s="603" t="inlineStr">
        <is>
          <t>TC_28</t>
        </is>
      </c>
      <c r="B29" s="617" t="inlineStr">
        <is>
          <t xml:space="preserve">Verify user is able to sign out, by clicking "Forget PersonalID user" </t>
        </is>
      </c>
      <c r="C29" s="617" t="n"/>
      <c r="D29" s="617" t="inlineStr">
        <is>
          <t>- User should be able to sign out of the personal id by clicking the option
- On again clicking the three dot option, use should see "Sign up for PersonalID option</t>
        </is>
      </c>
      <c r="E29" s="618" t="n"/>
      <c r="F29" s="616" t="n"/>
      <c r="G29" s="616" t="n"/>
      <c r="I29" s="140" t="inlineStr">
        <is>
          <t>Not automatable</t>
        </is>
      </c>
      <c r="J29" s="0" t="inlineStr">
        <is>
          <t>N/A</t>
        </is>
      </c>
      <c r="K29" s="0" t="n"/>
    </row>
    <row r="30">
      <c r="A30" s="603" t="inlineStr">
        <is>
          <t>TC_29</t>
        </is>
      </c>
      <c r="B30" s="617" t="inlineStr">
        <is>
          <t>Confirm when user enters an existing phone number, on verifying the number they are taken to the "Enter Backup Code" screen</t>
        </is>
      </c>
      <c r="C30" s="617" t="n"/>
      <c r="D30" s="617" t="inlineStr">
        <is>
          <t xml:space="preserve">- When recovering an account, user should be taken to the "Enter Backup Code" screen
- On entering the correct backup code, user should be able to revocer the account 
- They should see a success message that the account is recovered </t>
        </is>
      </c>
      <c r="E30" s="618" t="n"/>
      <c r="F30" s="616" t="n"/>
      <c r="G30" s="616" t="n"/>
      <c r="I30" s="140" t="inlineStr">
        <is>
          <t>Not automatable</t>
        </is>
      </c>
      <c r="J30" s="0" t="inlineStr">
        <is>
          <t>N/A</t>
        </is>
      </c>
      <c r="K30" s="0" t="n"/>
    </row>
    <row r="31">
      <c r="A31" s="603" t="inlineStr">
        <is>
          <t>TC_30</t>
        </is>
      </c>
      <c r="B31" s="617" t="inlineStr">
        <is>
          <t>Verify user see there name and photo associated with the account on the screen</t>
        </is>
      </c>
      <c r="C31" s="617" t="n"/>
      <c r="D31" s="617" t="inlineStr">
        <is>
          <t>- User should see there picture on the screen and following text "Welcom back username"
- They should also see a field to enter the Personal ID Backup Code on the screen
- User should also see continue button and "This is not me" option on the screen</t>
        </is>
      </c>
      <c r="E31" s="618" t="n"/>
      <c r="F31" s="616" t="n"/>
      <c r="G31" s="616" t="n"/>
      <c r="I31" s="140" t="inlineStr">
        <is>
          <t>Not automatable</t>
        </is>
      </c>
      <c r="J31" s="0" t="inlineStr">
        <is>
          <t>N/A</t>
        </is>
      </c>
      <c r="K31" s="0" t="n"/>
    </row>
    <row r="32">
      <c r="A32" s="603" t="inlineStr">
        <is>
          <t>TC_31</t>
        </is>
      </c>
      <c r="B32" s="617" t="inlineStr">
        <is>
          <t>Verify user is unable to recover the account, if they enter a wrong backup code</t>
        </is>
      </c>
      <c r="C32" s="617" t="n"/>
      <c r="D32" s="617" t="inlineStr">
        <is>
          <t xml:space="preserve">- User shouldn't be able to recover there account on entering the wrong backup code 
- User should see an error pop-up message, that says "Wrong Backup code and informing user that they have only 2 more incorrect attempts left </t>
        </is>
      </c>
      <c r="E32" s="618" t="n"/>
      <c r="F32" s="616" t="n"/>
      <c r="G32" s="616" t="n"/>
      <c r="I32" s="140" t="inlineStr">
        <is>
          <t>Not automatable</t>
        </is>
      </c>
      <c r="J32" s="0" t="inlineStr">
        <is>
          <t>N/A</t>
        </is>
      </c>
      <c r="K32" s="0" t="n"/>
    </row>
    <row r="33">
      <c r="A33" s="603" t="inlineStr">
        <is>
          <t>TC_32</t>
        </is>
      </c>
      <c r="B33" s="617" t="inlineStr">
        <is>
          <t xml:space="preserve">Verify user is asked to create a new account when they enter the backup code wrong more than 3 times </t>
        </is>
      </c>
      <c r="C33" s="617" t="n"/>
      <c r="D33" s="617" t="inlineStr">
        <is>
          <t>- On entering the incorrect backup code 3 times, user should be prompted to configure the backup code again and sign-up instead of the recovering the account</t>
        </is>
      </c>
      <c r="E33" s="618" t="n"/>
      <c r="F33" s="616" t="n"/>
      <c r="G33" s="616" t="n"/>
      <c r="I33" s="140" t="inlineStr">
        <is>
          <t>Not automatable</t>
        </is>
      </c>
      <c r="J33" s="0" t="inlineStr">
        <is>
          <t>N/A</t>
        </is>
      </c>
      <c r="K33" s="0" t="n"/>
    </row>
    <row r="34">
      <c r="A34" s="603" t="inlineStr">
        <is>
          <t>TC_33</t>
        </is>
      </c>
      <c r="B34" s="617" t="inlineStr">
        <is>
          <t xml:space="preserve">Ensure user is able to create a new account when enter the wrong backup code multiple times </t>
        </is>
      </c>
      <c r="C34" s="617" t="n"/>
      <c r="D34" s="617" t="inlineStr">
        <is>
          <t xml:space="preserve">- On clicking OK for the Recovery failed pop-up, user should be able to sign up with the same number </t>
        </is>
      </c>
      <c r="E34" s="618" t="n"/>
      <c r="F34" s="616" t="n"/>
      <c r="G34" s="616" t="n"/>
      <c r="I34" s="140" t="inlineStr">
        <is>
          <t>Not automatable</t>
        </is>
      </c>
      <c r="J34" s="0" t="inlineStr">
        <is>
          <t>N/A</t>
        </is>
      </c>
      <c r="K34" s="0" t="n"/>
    </row>
    <row r="35">
      <c r="A35" s="603" t="inlineStr">
        <is>
          <t>TC_34</t>
        </is>
      </c>
      <c r="B35" s="617" t="inlineStr">
        <is>
          <t>Confirm user sees the option "This is not me" when they are recovring an account on the backup code screen</t>
        </is>
      </c>
      <c r="C35" s="617" t="n"/>
      <c r="D35" s="617" t="inlineStr">
        <is>
          <t>- User should see the option "This is not me", if the account already exists for the same number 
- On selecting the option, user should be redirected back to create back up code screen.</t>
        </is>
      </c>
      <c r="E35" s="618" t="n"/>
      <c r="F35" s="616" t="n"/>
      <c r="G35" s="616" t="n"/>
      <c r="I35" s="140" t="inlineStr">
        <is>
          <t>Not automatable</t>
        </is>
      </c>
      <c r="J35" s="0" t="inlineStr">
        <is>
          <t>N/A</t>
        </is>
      </c>
      <c r="K35" s="0" t="n"/>
    </row>
    <row r="36">
      <c r="A36" s="603" t="inlineStr">
        <is>
          <t>TC_35</t>
        </is>
      </c>
      <c r="B36" s="617" t="inlineStr">
        <is>
          <t xml:space="preserve">Verify user is able to steup backup code and create a new account </t>
        </is>
      </c>
      <c r="C36" s="617" t="inlineStr">
        <is>
          <t>Cont. from previous TC</t>
        </is>
      </c>
      <c r="D36" s="617" t="inlineStr">
        <is>
          <t xml:space="preserve">- User should be able to configure the backup code for the account 
- User should be able to take a photo and create the account successfully </t>
        </is>
      </c>
      <c r="E36" s="618" t="n"/>
      <c r="F36" s="616" t="n"/>
      <c r="G36" s="616" t="n"/>
      <c r="I36" s="140" t="inlineStr">
        <is>
          <t>Not automatable</t>
        </is>
      </c>
      <c r="J36" s="0" t="inlineStr">
        <is>
          <t>N/A</t>
        </is>
      </c>
      <c r="K36" s="0" t="n"/>
    </row>
    <row r="37">
      <c r="A37" s="603" t="inlineStr">
        <is>
          <t>TC_36</t>
        </is>
      </c>
      <c r="B37" s="617" t="inlineStr">
        <is>
          <t>Confirm on devices that don't support fingerprint, user is uanble to sign up for Personal ID</t>
        </is>
      </c>
      <c r="C37" s="617" t="n"/>
      <c r="D37" s="617" t="inlineStr">
        <is>
          <t xml:space="preserve">- User should see a Process Failed pop-up with the following message "Your device isn't eligible to sign up for PersonalID at this time due to non availability of biometrci security feature. Please try again on a different device." 
- On pressing 'OK' user should be taken back to the Start page.  </t>
        </is>
      </c>
      <c r="E37" s="618" t="n"/>
      <c r="F37" s="616" t="n"/>
      <c r="G37" s="616" t="n"/>
      <c r="I37" s="140" t="inlineStr">
        <is>
          <t>Not automatable</t>
        </is>
      </c>
      <c r="J37" s="0" t="inlineStr">
        <is>
          <t>N/A</t>
        </is>
      </c>
      <c r="K37" s="0" t="n"/>
    </row>
    <row r="38">
      <c r="A38" s="603" t="inlineStr">
        <is>
          <t>TC_37</t>
        </is>
      </c>
      <c r="B38" s="617" t="inlineStr">
        <is>
          <t>Verify on logging in on a CC app, user sees a 'Link to Personal ID' pop up</t>
        </is>
      </c>
      <c r="C38" s="617" t="n"/>
      <c r="D38" s="617" t="inlineStr">
        <is>
          <t>- User should see a pop-up to  link the MW with the Personal ID, "Do you want to link the login to your PersonalID account? You will not need to type your password in the future."
- User should see two options 
i) Yes 
ii) No</t>
        </is>
      </c>
      <c r="E38" s="618" t="n"/>
      <c r="F38" s="616" t="n"/>
      <c r="G38" s="616" t="n"/>
      <c r="I38" s="140" t="inlineStr">
        <is>
          <t>Not automatable</t>
        </is>
      </c>
      <c r="J38" s="0" t="inlineStr">
        <is>
          <t>N/A</t>
        </is>
      </c>
      <c r="K38" s="0" t="inlineStr">
        <is>
          <t>(needs fingerprint enrollment - confirmed 2026-10-23)</t>
        </is>
      </c>
    </row>
    <row r="39">
      <c r="A39" s="603" t="inlineStr">
        <is>
          <t>TC_38</t>
        </is>
      </c>
      <c r="B39" s="617" t="inlineStr">
        <is>
          <t>Verify on selecting 'No' user is able to log into the CC app</t>
        </is>
      </c>
      <c r="C39" s="617" t="n"/>
      <c r="D39" s="617" t="inlineStr">
        <is>
          <t>- On selecting 'NO', user is able to login into the CC app 
- User is able to submit forms without issue 
- The pop-up does not appears again when user logs out and login again on the app</t>
        </is>
      </c>
      <c r="E39" s="618" t="n"/>
      <c r="F39" s="616" t="n"/>
      <c r="G39" s="616" t="n"/>
      <c r="I39" s="140" t="inlineStr">
        <is>
          <t>Not automatable</t>
        </is>
      </c>
      <c r="J39" s="0" t="inlineStr">
        <is>
          <t>N/A</t>
        </is>
      </c>
      <c r="K39" s="0" t="inlineStr">
        <is>
          <t>(needs fingerprint enrollment - confirmed 2026-10-23)</t>
        </is>
      </c>
    </row>
    <row r="40">
      <c r="A40" s="603" t="inlineStr">
        <is>
          <t>TC_39</t>
        </is>
      </c>
      <c r="B40" s="617" t="inlineStr">
        <is>
          <t xml:space="preserve">Confirm the MW is now linked with the PersonalID when user clicks on 'Yes' on the pop-up </t>
        </is>
      </c>
      <c r="C40" s="617" t="n"/>
      <c r="D40" s="617" t="inlineStr">
        <is>
          <t xml:space="preserve">- MW should be linked to the PersonalID account 
- User should not have to enter password again to login </t>
        </is>
      </c>
      <c r="E40" s="618" t="n"/>
      <c r="F40" s="616" t="n"/>
      <c r="G40" s="616" t="n"/>
      <c r="I40" s="140" t="inlineStr">
        <is>
          <t>Not automatable</t>
        </is>
      </c>
      <c r="J40" s="0" t="inlineStr">
        <is>
          <t>N/A</t>
        </is>
      </c>
      <c r="K40" s="0" t="inlineStr">
        <is>
          <t>(needs fingerprint enrollment - confirmed 2026-10-23)</t>
        </is>
      </c>
    </row>
    <row r="41">
      <c r="A41" s="603" t="inlineStr">
        <is>
          <t>TC_40</t>
        </is>
      </c>
      <c r="B41" s="617" t="inlineStr">
        <is>
          <t xml:space="preserve">Verify user can also login on the CC app by entering password </t>
        </is>
      </c>
      <c r="C41" s="617" t="n"/>
      <c r="D41" s="617" t="inlineStr">
        <is>
          <t>- User should be able to login by entering the password 
- User should also see a Unlink PersonalID pop up "I see you logged in with your password although PersonalID was configured for auto-login. Would you like to sever this login from PersonalID?"
- User should see two options 
i) Yes 
ii) No</t>
        </is>
      </c>
      <c r="E41" s="618" t="n"/>
      <c r="F41" s="616" t="n"/>
      <c r="G41" s="616" t="n"/>
      <c r="I41" s="140" t="inlineStr">
        <is>
          <t>Not automatable</t>
        </is>
      </c>
      <c r="J41" s="0" t="inlineStr">
        <is>
          <t>N/A</t>
        </is>
      </c>
      <c r="K41" s="0" t="inlineStr">
        <is>
          <t>(needs fingerprint enrollment - confirmed 2026-10-23)</t>
        </is>
      </c>
    </row>
    <row r="42">
      <c r="A42" s="603" t="inlineStr">
        <is>
          <t>TC_41</t>
        </is>
      </c>
      <c r="B42" s="617" t="inlineStr">
        <is>
          <t>Verify if user selects 'Yes' on the Unlink PersonalID pop-up, MW unlinks</t>
        </is>
      </c>
      <c r="C42" s="617" t="n"/>
      <c r="D42" s="617" t="inlineStr">
        <is>
          <t xml:space="preserve">- MW should be unlinked to the Personal ID and user can no longer log into the CC apps using PersonalID 
- User should only be able to login using password </t>
        </is>
      </c>
      <c r="E42" s="618" t="n"/>
      <c r="F42" s="616" t="n"/>
      <c r="G42" s="616" t="n"/>
      <c r="I42" s="140" t="inlineStr">
        <is>
          <t>Not automatable</t>
        </is>
      </c>
      <c r="J42" s="0" t="inlineStr">
        <is>
          <t>N/A</t>
        </is>
      </c>
      <c r="K42" s="0" t="inlineStr">
        <is>
          <t>(needs fingerprint enrollment - confirmed 2026-10-23)</t>
        </is>
      </c>
    </row>
    <row r="43">
      <c r="A43" s="603" t="inlineStr">
        <is>
          <t>TC_42</t>
        </is>
      </c>
      <c r="B43" s="617" t="inlineStr">
        <is>
          <t>Confirm on selecting 'No'on the unlinl PersonalID option, MW remains linked to the PersonalID</t>
        </is>
      </c>
      <c r="C43" s="617" t="n"/>
      <c r="D43" s="617" t="inlineStr">
        <is>
          <t>- User should not be unlinked and should be able to login using the PersonalID</t>
        </is>
      </c>
      <c r="E43" s="618" t="n"/>
      <c r="F43" s="616" t="n"/>
      <c r="G43" s="616" t="n"/>
      <c r="I43" s="140" t="inlineStr">
        <is>
          <t>Not automatable</t>
        </is>
      </c>
      <c r="J43" s="0" t="inlineStr">
        <is>
          <t>N/A</t>
        </is>
      </c>
      <c r="K43" s="0" t="inlineStr">
        <is>
          <t>(needs fingerprint enrollment - confirmed 2026-10-23)</t>
        </is>
      </c>
    </row>
    <row r="44">
      <c r="A44" s="603" t="inlineStr">
        <is>
          <t>TC_43</t>
        </is>
      </c>
      <c r="B44" s="617" t="inlineStr">
        <is>
          <t>Confirm we see a new column "Personal ID"on mobile workers page on HQ</t>
        </is>
      </c>
      <c r="C44" s="617" t="n"/>
      <c r="D44" s="617" t="inlineStr">
        <is>
          <t xml:space="preserve">- User should see a new column "Personal ID Status" on mobile workers page on HQ
- User should the following two status for the column
i) Not LInked 
ii) Active </t>
        </is>
      </c>
      <c r="E44" s="618" t="n"/>
      <c r="F44" s="616" t="n"/>
      <c r="G44" s="616" t="n"/>
      <c r="I44" s="140" t="inlineStr">
        <is>
          <t>Not automatable</t>
        </is>
      </c>
      <c r="J44" s="0" t="inlineStr">
        <is>
          <t>N/A</t>
        </is>
      </c>
      <c r="K44" s="0" t="n"/>
    </row>
    <row r="45">
      <c r="A45" s="603" t="inlineStr">
        <is>
          <t>TC_44</t>
        </is>
      </c>
      <c r="B45" s="617" t="inlineStr">
        <is>
          <t>Confirm when a MW is linked to Personal ID, 'Unlink PersonalID' button is present for Active column</t>
        </is>
      </c>
      <c r="C45" s="617" t="n"/>
      <c r="D45" s="617" t="inlineStr">
        <is>
          <t xml:space="preserve">- Admin user should see "Unlink PersonalID" button, under Action column with Deactivate button </t>
        </is>
      </c>
      <c r="E45" s="618" t="n"/>
      <c r="F45" s="616" t="n"/>
      <c r="G45" s="616" t="n"/>
      <c r="I45" s="140" t="inlineStr">
        <is>
          <t>Not automatable</t>
        </is>
      </c>
      <c r="J45" s="0" t="inlineStr">
        <is>
          <t>N/A</t>
        </is>
      </c>
      <c r="K45" s="0" t="n"/>
    </row>
    <row r="46">
      <c r="A46" s="603" t="inlineStr">
        <is>
          <t>TC_45</t>
        </is>
      </c>
      <c r="B46" s="617" t="inlineStr">
        <is>
          <t>Verify on clicking on "Unlink PersonalID" button, user can unlink the MW with PersonalID</t>
        </is>
      </c>
      <c r="C46" s="617" t="n"/>
      <c r="D46" s="617" t="inlineStr">
        <is>
          <t xml:space="preserve">- On clicking "Unlink PersonalID" option, we see a pop-up on HQ "Are you sure you want to unlink the PersonalID account for this mobile worker?" and see the two options 
i) Cancel 
ii) Unlink </t>
        </is>
      </c>
      <c r="E46" s="618" t="n"/>
      <c r="F46" s="616" t="n"/>
      <c r="G46" s="616" t="n"/>
      <c r="I46" s="140" t="inlineStr">
        <is>
          <t>Not automatable</t>
        </is>
      </c>
      <c r="J46" s="0" t="inlineStr">
        <is>
          <t>N/A</t>
        </is>
      </c>
      <c r="K46" s="0" t="n"/>
    </row>
    <row r="47">
      <c r="A47" s="603" t="inlineStr">
        <is>
          <t>TC_46</t>
        </is>
      </c>
      <c r="B47" s="617" t="inlineStr">
        <is>
          <t>Confrim on selecting the Unlink option, MW is not linked to the PersonalID anymore</t>
        </is>
      </c>
      <c r="C47" s="617" t="n"/>
      <c r="D47" s="617" t="inlineStr">
        <is>
          <t>- MW should get unlinked from PersonalID and PersonalID status should get updated to Inactive 
- User should now see a 'Link PersonalID' option for the MW
- User should not see the option to login via PersonalID on the CC app</t>
        </is>
      </c>
      <c r="E47" s="618" t="n"/>
      <c r="F47" s="616" t="n"/>
      <c r="G47" s="616" t="n"/>
      <c r="I47" s="140" t="inlineStr">
        <is>
          <t>Not automatable</t>
        </is>
      </c>
      <c r="J47" s="0" t="inlineStr">
        <is>
          <t>N/A</t>
        </is>
      </c>
      <c r="K47" s="0" t="n"/>
    </row>
    <row r="48">
      <c r="A48" s="603" t="inlineStr">
        <is>
          <t>TC_47</t>
        </is>
      </c>
      <c r="B48" s="617" t="inlineStr">
        <is>
          <t>Confirm user sees "Go to Connect Menu" when they have signed up for PersonalID</t>
        </is>
      </c>
      <c r="C48" s="617" t="n"/>
      <c r="D48" s="617" t="inlineStr">
        <is>
          <t>- User should see "Go to Connect Menu" option for the Beta Release but not for Mainline release app</t>
        </is>
      </c>
      <c r="E48" s="618" t="n"/>
      <c r="F48" s="616" t="n"/>
      <c r="G48" s="616" t="n"/>
      <c r="I48" s="140" t="inlineStr">
        <is>
          <t>Not automatable</t>
        </is>
      </c>
      <c r="J48" s="0" t="inlineStr">
        <is>
          <t>N/A</t>
        </is>
      </c>
      <c r="K48" s="0" t="n"/>
    </row>
  </sheetData>
  <dataValidations count="1">
    <dataValidation sqref="E2:E48" showDropDown="0" showInputMessage="0" showErrorMessage="1" allowBlank="1" type="list">
      <formula1>"Pass,Fail,N/A,Blocking"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2026-08-04T14:04:59Z</dcterms:created>
  <dcterms:modified xmlns:dcterms="http://purl.org/dc/terms/" xmlns:xsi="http://www.w3.org/2001/XMLSchema-instance" xsi:type="dcterms:W3CDTF">2026-10-27T10:35:20Z</dcterms:modified>
</cp:coreProperties>
</file>